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abd7dac2072dd/Documents/"/>
    </mc:Choice>
  </mc:AlternateContent>
  <xr:revisionPtr revIDLastSave="1" documentId="8_{F5A21F31-7D7C-44A8-A4DF-C0362DBCBD3D}" xr6:coauthVersionLast="47" xr6:coauthVersionMax="47" xr10:uidLastSave="{55657500-91E8-4785-8940-B819EADB919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3" i="1" l="1"/>
  <c r="H197" i="1"/>
  <c r="H185" i="1"/>
  <c r="H171" i="1"/>
  <c r="H160" i="1"/>
  <c r="H149" i="1"/>
  <c r="H138" i="1"/>
  <c r="H113" i="1"/>
  <c r="H110" i="1"/>
  <c r="H90" i="1"/>
  <c r="H20" i="1"/>
  <c r="H15" i="1"/>
  <c r="H16" i="1" s="1"/>
  <c r="H114" i="1" l="1"/>
  <c r="H115" i="1" s="1"/>
  <c r="H116" i="1" s="1"/>
  <c r="H186" i="1"/>
  <c r="H198" i="1" s="1"/>
</calcChain>
</file>

<file path=xl/sharedStrings.xml><?xml version="1.0" encoding="utf-8"?>
<sst xmlns="http://schemas.openxmlformats.org/spreadsheetml/2006/main" count="1007" uniqueCount="258">
  <si>
    <t>Allied Power Services</t>
  </si>
  <si>
    <t>Profit and Loss Detail</t>
  </si>
  <si>
    <t>January 1, 2025-June 23, 2026</t>
  </si>
  <si>
    <t>Ordinary Income/Expenses</t>
  </si>
  <si>
    <t>Income</t>
  </si>
  <si>
    <t>45100 Job Income</t>
  </si>
  <si>
    <t>10/27/2025</t>
  </si>
  <si>
    <t>Invoice</t>
  </si>
  <si>
    <t>8960</t>
  </si>
  <si>
    <t>National Network Services:PSL Garage</t>
  </si>
  <si>
    <t/>
  </si>
  <si>
    <t>Subcontract Number: NNS25094-1  -  HCA PSL HUGS 2025_x000D_
1719 East 19th Avenue_x000D_
Denver, CO 80218_x000D_
Site Contact: Edward Dykiel</t>
  </si>
  <si>
    <t>Accounts Receivable</t>
  </si>
  <si>
    <t>12/09/2025</t>
  </si>
  <si>
    <t>8983</t>
  </si>
  <si>
    <t>PO NNS25084-1   -   PSL Parking Garages Camera Conduits, PSL Avigilon Camera Project - 1719 E 19th Avenue, Denver, CO 80218   Base contract $83,402, Progress billing thru 12/9/25.</t>
  </si>
  <si>
    <t>01/26/2026</t>
  </si>
  <si>
    <t>9002</t>
  </si>
  <si>
    <t>PO NNS25084-1 - PSL Parking Garages Camera Conduits, PSL Avigilon Camera Project - 1719 E 19th Avenue, Denver, CO 80218 Base contract $83,402, Billing thru 1/25/26.</t>
  </si>
  <si>
    <t>02/17/2026</t>
  </si>
  <si>
    <t>9031</t>
  </si>
  <si>
    <t>26N00079-1   PSL elevator cable  job conduit install</t>
  </si>
  <si>
    <t>02/18/2026</t>
  </si>
  <si>
    <t>9032</t>
  </si>
  <si>
    <t>26N00081-1   PSL Stairwell B2 Add 3 conduit install</t>
  </si>
  <si>
    <t>02/24/2026</t>
  </si>
  <si>
    <t>9034</t>
  </si>
  <si>
    <t xml:space="preserve">26N00079-2
 PSL HUGS Elevator Adds conduit install
</t>
  </si>
  <si>
    <t>Total for 45100 Job Income</t>
  </si>
  <si>
    <t>Total for Income with sub-accounts</t>
  </si>
  <si>
    <t>Cost of Goods Sold</t>
  </si>
  <si>
    <t>50800 Equipment Rental for Jobs</t>
  </si>
  <si>
    <t>01/19/2026</t>
  </si>
  <si>
    <t>Expense</t>
  </si>
  <si>
    <t>Home Depot</t>
  </si>
  <si>
    <t>Total for 50800 Equipment Rental for Jobs</t>
  </si>
  <si>
    <t>51400 Job Materials Purchased</t>
  </si>
  <si>
    <t>10/21/2025</t>
  </si>
  <si>
    <t>Bill</t>
  </si>
  <si>
    <t>369419</t>
  </si>
  <si>
    <t>CES  - Colorado Electric Supply</t>
  </si>
  <si>
    <t>Accounts Payable</t>
  </si>
  <si>
    <t>10/22/2025</t>
  </si>
  <si>
    <t>1879822</t>
  </si>
  <si>
    <t>CED</t>
  </si>
  <si>
    <t>elevators</t>
  </si>
  <si>
    <t>10/23/2025</t>
  </si>
  <si>
    <t>369538</t>
  </si>
  <si>
    <t>10/28/2025</t>
  </si>
  <si>
    <t>241501</t>
  </si>
  <si>
    <t>10/29/2025</t>
  </si>
  <si>
    <t>241530</t>
  </si>
  <si>
    <t>10/30/2025</t>
  </si>
  <si>
    <t>369818</t>
  </si>
  <si>
    <t>369772</t>
  </si>
  <si>
    <t>11/03/2025</t>
  </si>
  <si>
    <t>241629</t>
  </si>
  <si>
    <t>11/04/2025</t>
  </si>
  <si>
    <t>369960</t>
  </si>
  <si>
    <t>11/06/2025</t>
  </si>
  <si>
    <t>370086</t>
  </si>
  <si>
    <t>11/07/2025</t>
  </si>
  <si>
    <t>241800</t>
  </si>
  <si>
    <t>11/10/2025</t>
  </si>
  <si>
    <t>Vendor Credit</t>
  </si>
  <si>
    <t>14291</t>
  </si>
  <si>
    <t>370166</t>
  </si>
  <si>
    <t>11/12/2025</t>
  </si>
  <si>
    <t>370235</t>
  </si>
  <si>
    <t>241965</t>
  </si>
  <si>
    <t>11/17/2025</t>
  </si>
  <si>
    <t>1896320</t>
  </si>
  <si>
    <t>11/18/2025</t>
  </si>
  <si>
    <t>370494</t>
  </si>
  <si>
    <t>11/19/2025</t>
  </si>
  <si>
    <t>11/20/2025</t>
  </si>
  <si>
    <t>513597318.002</t>
  </si>
  <si>
    <t>Crescent Electric Supply Company</t>
  </si>
  <si>
    <t>11/25/2025</t>
  </si>
  <si>
    <t>Check</t>
  </si>
  <si>
    <t>8107</t>
  </si>
  <si>
    <t>Michael J Grenz</t>
  </si>
  <si>
    <t>drop in anchors</t>
  </si>
  <si>
    <t>Checking</t>
  </si>
  <si>
    <t>anchors</t>
  </si>
  <si>
    <t>11/26/2025</t>
  </si>
  <si>
    <t>370783</t>
  </si>
  <si>
    <t>12/04/2025</t>
  </si>
  <si>
    <t>242492</t>
  </si>
  <si>
    <t>12/05/2025</t>
  </si>
  <si>
    <t>371014</t>
  </si>
  <si>
    <t>12/06/2025</t>
  </si>
  <si>
    <t>14339</t>
  </si>
  <si>
    <t>12/17/2025</t>
  </si>
  <si>
    <t>242907</t>
  </si>
  <si>
    <t>12/18/2025</t>
  </si>
  <si>
    <t>1094746</t>
  </si>
  <si>
    <t>12/31/2025</t>
  </si>
  <si>
    <t>243232</t>
  </si>
  <si>
    <t>01/02/2026</t>
  </si>
  <si>
    <t>371763</t>
  </si>
  <si>
    <t>01/05/2026</t>
  </si>
  <si>
    <t>243274</t>
  </si>
  <si>
    <t>01/06/2026</t>
  </si>
  <si>
    <t>243319</t>
  </si>
  <si>
    <t>01/07/2026</t>
  </si>
  <si>
    <t>243352</t>
  </si>
  <si>
    <t>01/08/2026</t>
  </si>
  <si>
    <t>01/10/2026</t>
  </si>
  <si>
    <t>371923</t>
  </si>
  <si>
    <t>01/12/2026</t>
  </si>
  <si>
    <t>372026</t>
  </si>
  <si>
    <t>psl adds</t>
  </si>
  <si>
    <t>372114</t>
  </si>
  <si>
    <t>01/16/2026</t>
  </si>
  <si>
    <t>372187</t>
  </si>
  <si>
    <t>01/21/2026</t>
  </si>
  <si>
    <t>Credit Card Credit</t>
  </si>
  <si>
    <t>01/22/2026</t>
  </si>
  <si>
    <t>372313</t>
  </si>
  <si>
    <t>372385</t>
  </si>
  <si>
    <t>283516</t>
  </si>
  <si>
    <t>01/25/2026</t>
  </si>
  <si>
    <t>243893</t>
  </si>
  <si>
    <t>01/29/2026</t>
  </si>
  <si>
    <t>372518</t>
  </si>
  <si>
    <t>02/06/2026</t>
  </si>
  <si>
    <t>14392</t>
  </si>
  <si>
    <t>14393</t>
  </si>
  <si>
    <t>15280</t>
  </si>
  <si>
    <t>15261</t>
  </si>
  <si>
    <t>15262</t>
  </si>
  <si>
    <t>02/10/2026</t>
  </si>
  <si>
    <t>372938</t>
  </si>
  <si>
    <t>02/13/2026</t>
  </si>
  <si>
    <t>373057</t>
  </si>
  <si>
    <t>add sl #2</t>
  </si>
  <si>
    <t>244643</t>
  </si>
  <si>
    <t>sl adds 3</t>
  </si>
  <si>
    <t>02/19/2026</t>
  </si>
  <si>
    <t>02/20/2026</t>
  </si>
  <si>
    <t>244746</t>
  </si>
  <si>
    <t>244748</t>
  </si>
  <si>
    <t>373442</t>
  </si>
  <si>
    <t>03/04/2026</t>
  </si>
  <si>
    <t>03/06/2026</t>
  </si>
  <si>
    <t>373771</t>
  </si>
  <si>
    <t>adds 5</t>
  </si>
  <si>
    <t>03/12/2026</t>
  </si>
  <si>
    <t>513597318.003</t>
  </si>
  <si>
    <t>03/30/2026</t>
  </si>
  <si>
    <t>374527</t>
  </si>
  <si>
    <t>374557</t>
  </si>
  <si>
    <t>Total for 51400 Job Materials Purchased</t>
  </si>
  <si>
    <t>53600 Subcontractors Expense</t>
  </si>
  <si>
    <t>53650 Temporary Labor</t>
  </si>
  <si>
    <t>7401</t>
  </si>
  <si>
    <t>Worker Bee Solutions LLC</t>
  </si>
  <si>
    <t>psl</t>
  </si>
  <si>
    <t>7404</t>
  </si>
  <si>
    <t>11/11/2025</t>
  </si>
  <si>
    <t>7406</t>
  </si>
  <si>
    <t>7409</t>
  </si>
  <si>
    <t>11/24/2025</t>
  </si>
  <si>
    <t>7412</t>
  </si>
  <si>
    <t>12/01/2025</t>
  </si>
  <si>
    <t>7415</t>
  </si>
  <si>
    <t>12/08/2025</t>
  </si>
  <si>
    <t>7417</t>
  </si>
  <si>
    <t>sierra</t>
  </si>
  <si>
    <t>12/16/2025</t>
  </si>
  <si>
    <t>7419</t>
  </si>
  <si>
    <t>12/23/2025</t>
  </si>
  <si>
    <t>7421</t>
  </si>
  <si>
    <t>12/29/2025</t>
  </si>
  <si>
    <t>7422</t>
  </si>
  <si>
    <t>7424</t>
  </si>
  <si>
    <t>7426</t>
  </si>
  <si>
    <t>7429</t>
  </si>
  <si>
    <t>7431</t>
  </si>
  <si>
    <t>02/02/2026</t>
  </si>
  <si>
    <t>7433</t>
  </si>
  <si>
    <t>03/09/2026</t>
  </si>
  <si>
    <t>7442</t>
  </si>
  <si>
    <t>Total for 53650 Temporary Labor</t>
  </si>
  <si>
    <t>53675 Sub Contrators</t>
  </si>
  <si>
    <t>12/28/2025</t>
  </si>
  <si>
    <t>15025</t>
  </si>
  <si>
    <t>core &amp; saw</t>
  </si>
  <si>
    <t>Total for 53675 Sub Contrators</t>
  </si>
  <si>
    <t>Total for 53600 Subcontractors Expense with sub-accounts</t>
  </si>
  <si>
    <t>Total for Cost of Goods Sold with sub-accounts</t>
  </si>
  <si>
    <t>Gross Profit</t>
  </si>
  <si>
    <t>Expenses</t>
  </si>
  <si>
    <t>66000 Payroll Expenses</t>
  </si>
  <si>
    <t>66010 FICA</t>
  </si>
  <si>
    <t>10/17/2025</t>
  </si>
  <si>
    <t>Mosiac</t>
  </si>
  <si>
    <t>michael Burris</t>
  </si>
  <si>
    <t>Social Security Company: Labor</t>
  </si>
  <si>
    <t>Medicare Company: Labor</t>
  </si>
  <si>
    <t>10/31/2025</t>
  </si>
  <si>
    <t>11/14/2025</t>
  </si>
  <si>
    <t>11/28/2025</t>
  </si>
  <si>
    <t>12/12/2025</t>
  </si>
  <si>
    <t>12/26/2025</t>
  </si>
  <si>
    <t>01/09/2026</t>
  </si>
  <si>
    <t>01/23/2026</t>
  </si>
  <si>
    <t>Joshua Stone</t>
  </si>
  <si>
    <t>Total for 66010 FICA</t>
  </si>
  <si>
    <t>66020 FUTA</t>
  </si>
  <si>
    <t>Federal Unemployment: Labor</t>
  </si>
  <si>
    <t>Total for 66020 FUTA</t>
  </si>
  <si>
    <t>66030 SUI</t>
  </si>
  <si>
    <t>CO - Unemployment: Labor</t>
  </si>
  <si>
    <t>Total for 66030 SUI</t>
  </si>
  <si>
    <t>66037 State Surcharges</t>
  </si>
  <si>
    <t>CO - Tax Surcharge: Labor</t>
  </si>
  <si>
    <t>Total for 66037 State Surcharges</t>
  </si>
  <si>
    <t>66040 Gross Wages</t>
  </si>
  <si>
    <t>Straight Time: Labor 1 @ $31</t>
  </si>
  <si>
    <t>Hourly Overtime: Labor 1 @ $46.5</t>
  </si>
  <si>
    <t>Hourly Overtime: Labor 1 @ $34.5</t>
  </si>
  <si>
    <t>Total for 66040 Gross Wages</t>
  </si>
  <si>
    <t>Total for 66000 Payroll Expenses with sub-accounts</t>
  </si>
  <si>
    <t>Purchases</t>
  </si>
  <si>
    <t>test check p period 3</t>
  </si>
  <si>
    <t>brendan friedman</t>
  </si>
  <si>
    <t>1-19 to 1-24</t>
  </si>
  <si>
    <t>test check period  3</t>
  </si>
  <si>
    <t>1-19 to 1-31</t>
  </si>
  <si>
    <t>test ck pp4</t>
  </si>
  <si>
    <t>2-2 to 2-15</t>
  </si>
  <si>
    <t>test  ck pp4</t>
  </si>
  <si>
    <t>2-16 - 3-1</t>
  </si>
  <si>
    <t>03/20/2026</t>
  </si>
  <si>
    <t>04/17/2026</t>
  </si>
  <si>
    <t>3-16 to 3-29</t>
  </si>
  <si>
    <t>3-30 to 4-12</t>
  </si>
  <si>
    <t>06/08/2026</t>
  </si>
  <si>
    <t>5-25 to 6-7</t>
  </si>
  <si>
    <t>Total for Purchases</t>
  </si>
  <si>
    <t>Total for Expenses with sub-accounts</t>
  </si>
  <si>
    <t>Net Ordinary Income</t>
  </si>
  <si>
    <t>Other Income/Expense</t>
  </si>
  <si>
    <t>Other Income</t>
  </si>
  <si>
    <t>Other Expense</t>
  </si>
  <si>
    <t>Net Other Income</t>
  </si>
  <si>
    <t>Net Income</t>
  </si>
  <si>
    <t>Transaction date</t>
  </si>
  <si>
    <t>Transaction type</t>
  </si>
  <si>
    <t>Num</t>
  </si>
  <si>
    <t>Name</t>
  </si>
  <si>
    <t>Description</t>
  </si>
  <si>
    <t>Item split account</t>
  </si>
  <si>
    <t>Amount</t>
  </si>
  <si>
    <t>Balance</t>
  </si>
  <si>
    <t>Accrual Basis Tuesday, June 23, 2026 12:55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</si>
</sst>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8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I206"/>
  <sheetViews>
    <sheetView tabSelected="1" workbookViewId="0">
      <selection activeCell="A206" sqref="A206:XFD207"/>
    </sheetView>
  </sheetViews>
  <sheetFormatPr defaultColWidth="11.296875" defaultRowHeight="15.6" x14ac:dyDescent="0.3"/>
  <cols>
    <col min="1" max="1" width="41.796875" style="11" customWidth="1"/>
    <col min="2" max="2" width="16.296875" style="11" customWidth="1"/>
    <col min="3" max="3" width="12.8984375" style="11" customWidth="1"/>
    <col min="4" max="4" width="7.19921875" style="11" customWidth="1"/>
    <col min="5" max="5" width="31.59765625" style="11" customWidth="1"/>
    <col min="6" max="6" width="86.59765625" style="11" customWidth="1"/>
    <col min="7" max="7" width="15.3984375" style="11" customWidth="1"/>
    <col min="8" max="8" width="13.59765625" style="11" customWidth="1"/>
    <col min="9" max="9" width="13.09765625" style="11" customWidth="1"/>
  </cols>
  <sheetData>
    <row r="1" spans="1:9" x14ac:dyDescent="0.3">
      <c r="A1" s="5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">
      <c r="A3" s="2" t="s">
        <v>2</v>
      </c>
      <c r="B3" s="4"/>
      <c r="C3" s="4"/>
      <c r="D3" s="4"/>
      <c r="E3" s="4"/>
      <c r="F3" s="4"/>
      <c r="G3" s="4"/>
      <c r="H3" s="4"/>
      <c r="I3" s="4"/>
    </row>
    <row r="5" spans="1:9" x14ac:dyDescent="0.3">
      <c r="A5" s="12" t="s">
        <v>10</v>
      </c>
      <c r="B5" s="14" t="s">
        <v>249</v>
      </c>
      <c r="C5" s="14" t="s">
        <v>250</v>
      </c>
      <c r="D5" s="14" t="s">
        <v>251</v>
      </c>
      <c r="E5" s="14" t="s">
        <v>252</v>
      </c>
      <c r="F5" s="14" t="s">
        <v>253</v>
      </c>
      <c r="G5" s="14" t="s">
        <v>254</v>
      </c>
      <c r="H5" s="14" t="s">
        <v>255</v>
      </c>
      <c r="I5" s="14" t="s">
        <v>256</v>
      </c>
    </row>
    <row r="6" spans="1:9" x14ac:dyDescent="0.3">
      <c r="A6" s="6" t="s">
        <v>3</v>
      </c>
    </row>
    <row r="7" spans="1:9" x14ac:dyDescent="0.3">
      <c r="A7" s="6" t="s">
        <v>4</v>
      </c>
    </row>
    <row r="8" spans="1:9" x14ac:dyDescent="0.3">
      <c r="A8" s="6" t="s">
        <v>5</v>
      </c>
    </row>
    <row r="9" spans="1:9" ht="42" x14ac:dyDescent="0.3">
      <c r="B9" s="13" t="s">
        <v>6</v>
      </c>
      <c r="C9" s="13" t="s">
        <v>7</v>
      </c>
      <c r="D9" s="13" t="s">
        <v>8</v>
      </c>
      <c r="E9" s="13" t="s">
        <v>9</v>
      </c>
      <c r="F9" s="13" t="s">
        <v>11</v>
      </c>
      <c r="G9" s="13" t="s">
        <v>12</v>
      </c>
      <c r="H9" s="15">
        <v>1539</v>
      </c>
      <c r="I9" s="15">
        <v>1539</v>
      </c>
    </row>
    <row r="10" spans="1:9" ht="21.6" x14ac:dyDescent="0.3">
      <c r="B10" s="13" t="s">
        <v>13</v>
      </c>
      <c r="C10" s="13" t="s">
        <v>7</v>
      </c>
      <c r="D10" s="13" t="s">
        <v>14</v>
      </c>
      <c r="E10" s="13" t="s">
        <v>9</v>
      </c>
      <c r="F10" s="13" t="s">
        <v>15</v>
      </c>
      <c r="G10" s="13" t="s">
        <v>12</v>
      </c>
      <c r="H10" s="15">
        <v>40000</v>
      </c>
      <c r="I10" s="15">
        <v>41539</v>
      </c>
    </row>
    <row r="11" spans="1:9" ht="21.6" x14ac:dyDescent="0.3">
      <c r="B11" s="13" t="s">
        <v>16</v>
      </c>
      <c r="C11" s="13" t="s">
        <v>7</v>
      </c>
      <c r="D11" s="13" t="s">
        <v>17</v>
      </c>
      <c r="E11" s="13" t="s">
        <v>9</v>
      </c>
      <c r="F11" s="13" t="s">
        <v>18</v>
      </c>
      <c r="G11" s="13" t="s">
        <v>12</v>
      </c>
      <c r="H11" s="15">
        <v>43402</v>
      </c>
      <c r="I11" s="15">
        <v>84941</v>
      </c>
    </row>
    <row r="12" spans="1:9" x14ac:dyDescent="0.3">
      <c r="B12" s="13" t="s">
        <v>19</v>
      </c>
      <c r="C12" s="13" t="s">
        <v>7</v>
      </c>
      <c r="D12" s="13" t="s">
        <v>20</v>
      </c>
      <c r="E12" s="13" t="s">
        <v>9</v>
      </c>
      <c r="F12" s="13" t="s">
        <v>21</v>
      </c>
      <c r="G12" s="13" t="s">
        <v>12</v>
      </c>
      <c r="H12" s="15">
        <v>575</v>
      </c>
      <c r="I12" s="15">
        <v>85516</v>
      </c>
    </row>
    <row r="13" spans="1:9" x14ac:dyDescent="0.3">
      <c r="B13" s="13" t="s">
        <v>22</v>
      </c>
      <c r="C13" s="13" t="s">
        <v>7</v>
      </c>
      <c r="D13" s="13" t="s">
        <v>23</v>
      </c>
      <c r="E13" s="13" t="s">
        <v>9</v>
      </c>
      <c r="F13" s="13" t="s">
        <v>24</v>
      </c>
      <c r="G13" s="13" t="s">
        <v>12</v>
      </c>
      <c r="H13" s="15">
        <v>495</v>
      </c>
      <c r="I13" s="15">
        <v>86011</v>
      </c>
    </row>
    <row r="14" spans="1:9" ht="31.8" x14ac:dyDescent="0.3">
      <c r="B14" s="13" t="s">
        <v>25</v>
      </c>
      <c r="C14" s="13" t="s">
        <v>7</v>
      </c>
      <c r="D14" s="13" t="s">
        <v>26</v>
      </c>
      <c r="E14" s="13" t="s">
        <v>9</v>
      </c>
      <c r="F14" s="13" t="s">
        <v>27</v>
      </c>
      <c r="G14" s="13" t="s">
        <v>12</v>
      </c>
      <c r="H14" s="15">
        <v>487</v>
      </c>
      <c r="I14" s="15">
        <v>86498</v>
      </c>
    </row>
    <row r="15" spans="1:9" x14ac:dyDescent="0.3">
      <c r="A15" s="7" t="s">
        <v>28</v>
      </c>
      <c r="H15" s="16">
        <f>H9+H10+H11+H12+H13+H14</f>
        <v>86498</v>
      </c>
    </row>
    <row r="16" spans="1:9" x14ac:dyDescent="0.3">
      <c r="A16" s="8" t="s">
        <v>29</v>
      </c>
      <c r="H16" s="16">
        <f>H15</f>
        <v>86498</v>
      </c>
    </row>
    <row r="17" spans="1:9" x14ac:dyDescent="0.3">
      <c r="A17" s="6" t="s">
        <v>30</v>
      </c>
    </row>
    <row r="18" spans="1:9" x14ac:dyDescent="0.3">
      <c r="A18" s="6" t="s">
        <v>31</v>
      </c>
    </row>
    <row r="19" spans="1:9" x14ac:dyDescent="0.3">
      <c r="B19" s="13" t="s">
        <v>32</v>
      </c>
      <c r="C19" s="13" t="s">
        <v>33</v>
      </c>
      <c r="D19" s="13" t="s">
        <v>10</v>
      </c>
      <c r="E19" s="13" t="s">
        <v>34</v>
      </c>
      <c r="F19" s="13" t="s">
        <v>10</v>
      </c>
      <c r="G19" s="13" t="s">
        <v>34</v>
      </c>
      <c r="H19" s="15">
        <v>509.93</v>
      </c>
      <c r="I19" s="15">
        <v>509.93</v>
      </c>
    </row>
    <row r="20" spans="1:9" x14ac:dyDescent="0.3">
      <c r="A20" s="7" t="s">
        <v>35</v>
      </c>
      <c r="H20" s="16">
        <f>H19</f>
        <v>509.93</v>
      </c>
    </row>
    <row r="21" spans="1:9" x14ac:dyDescent="0.3">
      <c r="A21" s="6" t="s">
        <v>36</v>
      </c>
    </row>
    <row r="22" spans="1:9" x14ac:dyDescent="0.3">
      <c r="B22" s="13" t="s">
        <v>37</v>
      </c>
      <c r="C22" s="13" t="s">
        <v>38</v>
      </c>
      <c r="D22" s="13" t="s">
        <v>39</v>
      </c>
      <c r="E22" s="13" t="s">
        <v>40</v>
      </c>
      <c r="F22" s="13" t="s">
        <v>10</v>
      </c>
      <c r="G22" s="13" t="s">
        <v>41</v>
      </c>
      <c r="H22" s="15">
        <v>2303.5100000000002</v>
      </c>
      <c r="I22" s="15">
        <v>2303.5100000000002</v>
      </c>
    </row>
    <row r="23" spans="1:9" x14ac:dyDescent="0.3">
      <c r="B23" s="13" t="s">
        <v>42</v>
      </c>
      <c r="C23" s="13" t="s">
        <v>38</v>
      </c>
      <c r="D23" s="13" t="s">
        <v>43</v>
      </c>
      <c r="E23" s="13" t="s">
        <v>44</v>
      </c>
      <c r="F23" s="13" t="s">
        <v>45</v>
      </c>
      <c r="G23" s="13" t="s">
        <v>41</v>
      </c>
      <c r="H23" s="15">
        <v>65.95</v>
      </c>
      <c r="I23" s="15">
        <v>2369.46</v>
      </c>
    </row>
    <row r="24" spans="1:9" x14ac:dyDescent="0.3">
      <c r="B24" s="13" t="s">
        <v>46</v>
      </c>
      <c r="C24" s="13" t="s">
        <v>38</v>
      </c>
      <c r="D24" s="13" t="s">
        <v>47</v>
      </c>
      <c r="E24" s="13" t="s">
        <v>40</v>
      </c>
      <c r="F24" s="13" t="s">
        <v>10</v>
      </c>
      <c r="G24" s="13" t="s">
        <v>41</v>
      </c>
      <c r="H24" s="15">
        <v>93.81</v>
      </c>
      <c r="I24" s="15">
        <v>2463.27</v>
      </c>
    </row>
    <row r="25" spans="1:9" x14ac:dyDescent="0.3">
      <c r="B25" s="13" t="s">
        <v>48</v>
      </c>
      <c r="C25" s="13" t="s">
        <v>38</v>
      </c>
      <c r="D25" s="13" t="s">
        <v>49</v>
      </c>
      <c r="E25" s="13" t="s">
        <v>40</v>
      </c>
      <c r="F25" s="13" t="s">
        <v>10</v>
      </c>
      <c r="G25" s="13" t="s">
        <v>41</v>
      </c>
      <c r="H25" s="15">
        <v>61.99</v>
      </c>
      <c r="I25" s="15">
        <v>2525.2599999999998</v>
      </c>
    </row>
    <row r="26" spans="1:9" x14ac:dyDescent="0.3">
      <c r="B26" s="13" t="s">
        <v>50</v>
      </c>
      <c r="C26" s="13" t="s">
        <v>38</v>
      </c>
      <c r="D26" s="13" t="s">
        <v>51</v>
      </c>
      <c r="E26" s="13" t="s">
        <v>40</v>
      </c>
      <c r="F26" s="13" t="s">
        <v>10</v>
      </c>
      <c r="G26" s="13" t="s">
        <v>41</v>
      </c>
      <c r="H26" s="15">
        <v>138.44</v>
      </c>
      <c r="I26" s="15">
        <v>2663.7</v>
      </c>
    </row>
    <row r="27" spans="1:9" x14ac:dyDescent="0.3">
      <c r="B27" s="13" t="s">
        <v>52</v>
      </c>
      <c r="C27" s="13" t="s">
        <v>38</v>
      </c>
      <c r="D27" s="13" t="s">
        <v>53</v>
      </c>
      <c r="E27" s="13" t="s">
        <v>40</v>
      </c>
      <c r="F27" s="13" t="s">
        <v>10</v>
      </c>
      <c r="G27" s="13" t="s">
        <v>41</v>
      </c>
      <c r="H27" s="15">
        <v>38.83</v>
      </c>
      <c r="I27" s="15">
        <v>2702.5299999999997</v>
      </c>
    </row>
    <row r="28" spans="1:9" x14ac:dyDescent="0.3">
      <c r="B28" s="13" t="s">
        <v>52</v>
      </c>
      <c r="C28" s="13" t="s">
        <v>38</v>
      </c>
      <c r="D28" s="13" t="s">
        <v>54</v>
      </c>
      <c r="E28" s="13" t="s">
        <v>40</v>
      </c>
      <c r="F28" s="13" t="s">
        <v>10</v>
      </c>
      <c r="G28" s="13" t="s">
        <v>41</v>
      </c>
      <c r="H28" s="15">
        <v>170.14</v>
      </c>
      <c r="I28" s="15">
        <v>2872.6699999999996</v>
      </c>
    </row>
    <row r="29" spans="1:9" x14ac:dyDescent="0.3">
      <c r="B29" s="13" t="s">
        <v>55</v>
      </c>
      <c r="C29" s="13" t="s">
        <v>38</v>
      </c>
      <c r="D29" s="13" t="s">
        <v>56</v>
      </c>
      <c r="E29" s="13" t="s">
        <v>40</v>
      </c>
      <c r="F29" s="13" t="s">
        <v>10</v>
      </c>
      <c r="G29" s="13" t="s">
        <v>41</v>
      </c>
      <c r="H29" s="15">
        <v>20.11</v>
      </c>
      <c r="I29" s="15">
        <v>2892.7799999999997</v>
      </c>
    </row>
    <row r="30" spans="1:9" x14ac:dyDescent="0.3">
      <c r="B30" s="13" t="s">
        <v>57</v>
      </c>
      <c r="C30" s="13" t="s">
        <v>38</v>
      </c>
      <c r="D30" s="13" t="s">
        <v>58</v>
      </c>
      <c r="E30" s="13" t="s">
        <v>40</v>
      </c>
      <c r="F30" s="13" t="s">
        <v>10</v>
      </c>
      <c r="G30" s="13" t="s">
        <v>41</v>
      </c>
      <c r="H30" s="15">
        <v>107.67</v>
      </c>
      <c r="I30" s="15">
        <v>3000.45</v>
      </c>
    </row>
    <row r="31" spans="1:9" x14ac:dyDescent="0.3">
      <c r="B31" s="13" t="s">
        <v>59</v>
      </c>
      <c r="C31" s="13" t="s">
        <v>38</v>
      </c>
      <c r="D31" s="13" t="s">
        <v>60</v>
      </c>
      <c r="E31" s="13" t="s">
        <v>40</v>
      </c>
      <c r="F31" s="13" t="s">
        <v>10</v>
      </c>
      <c r="G31" s="13" t="s">
        <v>41</v>
      </c>
      <c r="H31" s="15">
        <v>3014.75</v>
      </c>
      <c r="I31" s="15">
        <v>6015.2</v>
      </c>
    </row>
    <row r="32" spans="1:9" x14ac:dyDescent="0.3">
      <c r="B32" s="13" t="s">
        <v>59</v>
      </c>
      <c r="C32" s="13" t="s">
        <v>33</v>
      </c>
      <c r="D32" s="13" t="s">
        <v>10</v>
      </c>
      <c r="E32" s="13" t="s">
        <v>34</v>
      </c>
      <c r="F32" s="13" t="s">
        <v>10</v>
      </c>
      <c r="G32" s="13" t="s">
        <v>34</v>
      </c>
      <c r="H32" s="15">
        <v>28.73</v>
      </c>
      <c r="I32" s="15">
        <v>6043.9299999999994</v>
      </c>
    </row>
    <row r="33" spans="2:9" x14ac:dyDescent="0.3">
      <c r="B33" s="13" t="s">
        <v>61</v>
      </c>
      <c r="C33" s="13" t="s">
        <v>38</v>
      </c>
      <c r="D33" s="13" t="s">
        <v>62</v>
      </c>
      <c r="E33" s="13" t="s">
        <v>40</v>
      </c>
      <c r="F33" s="13" t="s">
        <v>10</v>
      </c>
      <c r="G33" s="13" t="s">
        <v>41</v>
      </c>
      <c r="H33" s="15">
        <v>4.99</v>
      </c>
      <c r="I33" s="15">
        <v>6048.9199999999992</v>
      </c>
    </row>
    <row r="34" spans="2:9" x14ac:dyDescent="0.3">
      <c r="B34" s="13" t="s">
        <v>63</v>
      </c>
      <c r="C34" s="13" t="s">
        <v>64</v>
      </c>
      <c r="D34" s="13" t="s">
        <v>65</v>
      </c>
      <c r="E34" s="13" t="s">
        <v>40</v>
      </c>
      <c r="F34" s="13" t="s">
        <v>10</v>
      </c>
      <c r="G34" s="13" t="s">
        <v>41</v>
      </c>
      <c r="H34" s="15">
        <v>-467.72</v>
      </c>
      <c r="I34" s="15">
        <v>5581.1999999999989</v>
      </c>
    </row>
    <row r="35" spans="2:9" x14ac:dyDescent="0.3">
      <c r="B35" s="13" t="s">
        <v>63</v>
      </c>
      <c r="C35" s="13" t="s">
        <v>38</v>
      </c>
      <c r="D35" s="13" t="s">
        <v>66</v>
      </c>
      <c r="E35" s="13" t="s">
        <v>40</v>
      </c>
      <c r="F35" s="13" t="s">
        <v>10</v>
      </c>
      <c r="G35" s="13" t="s">
        <v>41</v>
      </c>
      <c r="H35" s="15">
        <v>136.16999999999999</v>
      </c>
      <c r="I35" s="15">
        <v>5717.369999999999</v>
      </c>
    </row>
    <row r="36" spans="2:9" x14ac:dyDescent="0.3">
      <c r="B36" s="13" t="s">
        <v>67</v>
      </c>
      <c r="C36" s="13" t="s">
        <v>38</v>
      </c>
      <c r="D36" s="13" t="s">
        <v>68</v>
      </c>
      <c r="E36" s="13" t="s">
        <v>40</v>
      </c>
      <c r="F36" s="13" t="s">
        <v>10</v>
      </c>
      <c r="G36" s="13" t="s">
        <v>41</v>
      </c>
      <c r="H36" s="15">
        <v>35.770000000000003</v>
      </c>
      <c r="I36" s="15">
        <v>5753.1399999999994</v>
      </c>
    </row>
    <row r="37" spans="2:9" x14ac:dyDescent="0.3">
      <c r="B37" s="13" t="s">
        <v>67</v>
      </c>
      <c r="C37" s="13" t="s">
        <v>38</v>
      </c>
      <c r="D37" s="13" t="s">
        <v>69</v>
      </c>
      <c r="E37" s="13" t="s">
        <v>40</v>
      </c>
      <c r="F37" s="13" t="s">
        <v>10</v>
      </c>
      <c r="G37" s="13" t="s">
        <v>41</v>
      </c>
      <c r="H37" s="15">
        <v>38.229999999999997</v>
      </c>
      <c r="I37" s="15">
        <v>5791.369999999999</v>
      </c>
    </row>
    <row r="38" spans="2:9" x14ac:dyDescent="0.3">
      <c r="B38" s="13" t="s">
        <v>67</v>
      </c>
      <c r="C38" s="13" t="s">
        <v>33</v>
      </c>
      <c r="D38" s="13" t="s">
        <v>10</v>
      </c>
      <c r="E38" s="13" t="s">
        <v>34</v>
      </c>
      <c r="F38" s="13" t="s">
        <v>10</v>
      </c>
      <c r="G38" s="13" t="s">
        <v>34</v>
      </c>
      <c r="H38" s="15">
        <v>14.19</v>
      </c>
      <c r="I38" s="15">
        <v>5805.5599999999986</v>
      </c>
    </row>
    <row r="39" spans="2:9" x14ac:dyDescent="0.3">
      <c r="B39" s="13" t="s">
        <v>70</v>
      </c>
      <c r="C39" s="13" t="s">
        <v>38</v>
      </c>
      <c r="D39" s="13" t="s">
        <v>71</v>
      </c>
      <c r="E39" s="13" t="s">
        <v>44</v>
      </c>
      <c r="F39" s="13" t="s">
        <v>10</v>
      </c>
      <c r="G39" s="13" t="s">
        <v>41</v>
      </c>
      <c r="H39" s="15">
        <v>98.15</v>
      </c>
      <c r="I39" s="15">
        <v>5903.7099999999982</v>
      </c>
    </row>
    <row r="40" spans="2:9" x14ac:dyDescent="0.3">
      <c r="B40" s="13" t="s">
        <v>72</v>
      </c>
      <c r="C40" s="13" t="s">
        <v>38</v>
      </c>
      <c r="D40" s="13" t="s">
        <v>73</v>
      </c>
      <c r="E40" s="13" t="s">
        <v>40</v>
      </c>
      <c r="F40" s="13" t="s">
        <v>10</v>
      </c>
      <c r="G40" s="13" t="s">
        <v>41</v>
      </c>
      <c r="H40" s="15">
        <v>20.79</v>
      </c>
      <c r="I40" s="15">
        <v>5924.4999999999982</v>
      </c>
    </row>
    <row r="41" spans="2:9" x14ac:dyDescent="0.3">
      <c r="B41" s="13" t="s">
        <v>74</v>
      </c>
      <c r="C41" s="13" t="s">
        <v>33</v>
      </c>
      <c r="D41" s="13" t="s">
        <v>10</v>
      </c>
      <c r="E41" s="13" t="s">
        <v>34</v>
      </c>
      <c r="F41" s="13" t="s">
        <v>10</v>
      </c>
      <c r="G41" s="13" t="s">
        <v>34</v>
      </c>
      <c r="H41" s="15">
        <v>16.100000000000001</v>
      </c>
      <c r="I41" s="15">
        <v>5940.5999999999985</v>
      </c>
    </row>
    <row r="42" spans="2:9" x14ac:dyDescent="0.3">
      <c r="B42" s="13" t="s">
        <v>75</v>
      </c>
      <c r="C42" s="13" t="s">
        <v>38</v>
      </c>
      <c r="D42" s="13" t="s">
        <v>76</v>
      </c>
      <c r="E42" s="13" t="s">
        <v>77</v>
      </c>
      <c r="F42" s="13" t="s">
        <v>10</v>
      </c>
      <c r="G42" s="13" t="s">
        <v>41</v>
      </c>
      <c r="H42" s="15">
        <v>1203.21</v>
      </c>
      <c r="I42" s="15">
        <v>7143.8099999999986</v>
      </c>
    </row>
    <row r="43" spans="2:9" x14ac:dyDescent="0.3">
      <c r="B43" s="13" t="s">
        <v>78</v>
      </c>
      <c r="C43" s="13" t="s">
        <v>79</v>
      </c>
      <c r="D43" s="13" t="s">
        <v>80</v>
      </c>
      <c r="E43" s="13" t="s">
        <v>81</v>
      </c>
      <c r="F43" s="13" t="s">
        <v>82</v>
      </c>
      <c r="G43" s="13" t="s">
        <v>83</v>
      </c>
      <c r="H43" s="15">
        <v>4738</v>
      </c>
      <c r="I43" s="15">
        <v>11881.809999999998</v>
      </c>
    </row>
    <row r="44" spans="2:9" x14ac:dyDescent="0.3">
      <c r="B44" s="13" t="s">
        <v>78</v>
      </c>
      <c r="C44" s="13" t="s">
        <v>79</v>
      </c>
      <c r="D44" s="13" t="s">
        <v>80</v>
      </c>
      <c r="E44" s="13" t="s">
        <v>81</v>
      </c>
      <c r="F44" s="13" t="s">
        <v>84</v>
      </c>
      <c r="G44" s="13" t="s">
        <v>83</v>
      </c>
      <c r="H44" s="15">
        <v>4530.59</v>
      </c>
      <c r="I44" s="15">
        <v>16412.399999999998</v>
      </c>
    </row>
    <row r="45" spans="2:9" x14ac:dyDescent="0.3">
      <c r="B45" s="13" t="s">
        <v>85</v>
      </c>
      <c r="C45" s="13" t="s">
        <v>38</v>
      </c>
      <c r="D45" s="13" t="s">
        <v>86</v>
      </c>
      <c r="E45" s="13" t="s">
        <v>40</v>
      </c>
      <c r="F45" s="13" t="s">
        <v>10</v>
      </c>
      <c r="G45" s="13" t="s">
        <v>41</v>
      </c>
      <c r="H45" s="15">
        <v>319.56</v>
      </c>
      <c r="I45" s="15">
        <v>16731.96</v>
      </c>
    </row>
    <row r="46" spans="2:9" x14ac:dyDescent="0.3">
      <c r="B46" s="13" t="s">
        <v>87</v>
      </c>
      <c r="C46" s="13" t="s">
        <v>38</v>
      </c>
      <c r="D46" s="13" t="s">
        <v>88</v>
      </c>
      <c r="E46" s="13" t="s">
        <v>40</v>
      </c>
      <c r="F46" s="13" t="s">
        <v>10</v>
      </c>
      <c r="G46" s="13" t="s">
        <v>41</v>
      </c>
      <c r="H46" s="15">
        <v>11.21</v>
      </c>
      <c r="I46" s="15">
        <v>16743.169999999998</v>
      </c>
    </row>
    <row r="47" spans="2:9" x14ac:dyDescent="0.3">
      <c r="B47" s="13" t="s">
        <v>87</v>
      </c>
      <c r="C47" s="13" t="s">
        <v>33</v>
      </c>
      <c r="D47" s="13" t="s">
        <v>10</v>
      </c>
      <c r="E47" s="13" t="s">
        <v>34</v>
      </c>
      <c r="F47" s="13" t="s">
        <v>10</v>
      </c>
      <c r="G47" s="13" t="s">
        <v>34</v>
      </c>
      <c r="H47" s="15">
        <v>30.18</v>
      </c>
      <c r="I47" s="15">
        <v>16773.349999999999</v>
      </c>
    </row>
    <row r="48" spans="2:9" x14ac:dyDescent="0.3">
      <c r="B48" s="13" t="s">
        <v>89</v>
      </c>
      <c r="C48" s="13" t="s">
        <v>38</v>
      </c>
      <c r="D48" s="13" t="s">
        <v>90</v>
      </c>
      <c r="E48" s="13" t="s">
        <v>40</v>
      </c>
      <c r="F48" s="13" t="s">
        <v>10</v>
      </c>
      <c r="G48" s="13" t="s">
        <v>41</v>
      </c>
      <c r="H48" s="15">
        <v>1632.14</v>
      </c>
      <c r="I48" s="15">
        <v>18405.489999999998</v>
      </c>
    </row>
    <row r="49" spans="2:9" x14ac:dyDescent="0.3">
      <c r="B49" s="13" t="s">
        <v>91</v>
      </c>
      <c r="C49" s="13" t="s">
        <v>64</v>
      </c>
      <c r="D49" s="13" t="s">
        <v>92</v>
      </c>
      <c r="E49" s="13" t="s">
        <v>40</v>
      </c>
      <c r="F49" s="13" t="s">
        <v>10</v>
      </c>
      <c r="G49" s="13" t="s">
        <v>41</v>
      </c>
      <c r="H49" s="15">
        <v>-72.349999999999994</v>
      </c>
      <c r="I49" s="15">
        <v>18333.14</v>
      </c>
    </row>
    <row r="50" spans="2:9" x14ac:dyDescent="0.3">
      <c r="B50" s="13" t="s">
        <v>93</v>
      </c>
      <c r="C50" s="13" t="s">
        <v>38</v>
      </c>
      <c r="D50" s="13" t="s">
        <v>94</v>
      </c>
      <c r="E50" s="13" t="s">
        <v>40</v>
      </c>
      <c r="F50" s="13" t="s">
        <v>10</v>
      </c>
      <c r="G50" s="13" t="s">
        <v>41</v>
      </c>
      <c r="H50" s="15">
        <v>37.71</v>
      </c>
      <c r="I50" s="15">
        <v>18370.849999999999</v>
      </c>
    </row>
    <row r="51" spans="2:9" x14ac:dyDescent="0.3">
      <c r="B51" s="13" t="s">
        <v>95</v>
      </c>
      <c r="C51" s="13" t="s">
        <v>38</v>
      </c>
      <c r="D51" s="13" t="s">
        <v>96</v>
      </c>
      <c r="E51" s="13" t="s">
        <v>44</v>
      </c>
      <c r="F51" s="13" t="s">
        <v>10</v>
      </c>
      <c r="G51" s="13" t="s">
        <v>41</v>
      </c>
      <c r="H51" s="15">
        <v>1.86</v>
      </c>
      <c r="I51" s="15">
        <v>18372.71</v>
      </c>
    </row>
    <row r="52" spans="2:9" x14ac:dyDescent="0.3">
      <c r="B52" s="13" t="s">
        <v>97</v>
      </c>
      <c r="C52" s="13" t="s">
        <v>38</v>
      </c>
      <c r="D52" s="13" t="s">
        <v>98</v>
      </c>
      <c r="E52" s="13" t="s">
        <v>40</v>
      </c>
      <c r="F52" s="13" t="s">
        <v>10</v>
      </c>
      <c r="G52" s="13" t="s">
        <v>41</v>
      </c>
      <c r="H52" s="15">
        <v>26.31</v>
      </c>
      <c r="I52" s="15">
        <v>18399.02</v>
      </c>
    </row>
    <row r="53" spans="2:9" x14ac:dyDescent="0.3">
      <c r="B53" s="13" t="s">
        <v>99</v>
      </c>
      <c r="C53" s="13" t="s">
        <v>38</v>
      </c>
      <c r="D53" s="13" t="s">
        <v>100</v>
      </c>
      <c r="E53" s="13" t="s">
        <v>40</v>
      </c>
      <c r="F53" s="13" t="s">
        <v>10</v>
      </c>
      <c r="G53" s="13" t="s">
        <v>41</v>
      </c>
      <c r="H53" s="15">
        <v>71.540000000000006</v>
      </c>
      <c r="I53" s="15">
        <v>18470.560000000001</v>
      </c>
    </row>
    <row r="54" spans="2:9" x14ac:dyDescent="0.3">
      <c r="B54" s="13" t="s">
        <v>101</v>
      </c>
      <c r="C54" s="13" t="s">
        <v>38</v>
      </c>
      <c r="D54" s="13" t="s">
        <v>102</v>
      </c>
      <c r="E54" s="13" t="s">
        <v>40</v>
      </c>
      <c r="F54" s="13" t="s">
        <v>10</v>
      </c>
      <c r="G54" s="13" t="s">
        <v>41</v>
      </c>
      <c r="H54" s="15">
        <v>116.59</v>
      </c>
      <c r="I54" s="15">
        <v>18587.150000000001</v>
      </c>
    </row>
    <row r="55" spans="2:9" x14ac:dyDescent="0.3">
      <c r="B55" s="13" t="s">
        <v>103</v>
      </c>
      <c r="C55" s="13" t="s">
        <v>38</v>
      </c>
      <c r="D55" s="13" t="s">
        <v>104</v>
      </c>
      <c r="E55" s="13" t="s">
        <v>40</v>
      </c>
      <c r="F55" s="13" t="s">
        <v>10</v>
      </c>
      <c r="G55" s="13" t="s">
        <v>41</v>
      </c>
      <c r="H55" s="15">
        <v>83.86</v>
      </c>
      <c r="I55" s="15">
        <v>18671.010000000002</v>
      </c>
    </row>
    <row r="56" spans="2:9" x14ac:dyDescent="0.3">
      <c r="B56" s="13" t="s">
        <v>105</v>
      </c>
      <c r="C56" s="13" t="s">
        <v>38</v>
      </c>
      <c r="D56" s="13" t="s">
        <v>106</v>
      </c>
      <c r="E56" s="13" t="s">
        <v>40</v>
      </c>
      <c r="F56" s="13" t="s">
        <v>10</v>
      </c>
      <c r="G56" s="13" t="s">
        <v>41</v>
      </c>
      <c r="H56" s="15">
        <v>21.86</v>
      </c>
      <c r="I56" s="15">
        <v>18692.870000000003</v>
      </c>
    </row>
    <row r="57" spans="2:9" x14ac:dyDescent="0.3">
      <c r="B57" s="13" t="s">
        <v>107</v>
      </c>
      <c r="C57" s="13" t="s">
        <v>33</v>
      </c>
      <c r="D57" s="13" t="s">
        <v>10</v>
      </c>
      <c r="E57" s="13" t="s">
        <v>34</v>
      </c>
      <c r="F57" s="13" t="s">
        <v>10</v>
      </c>
      <c r="G57" s="13" t="s">
        <v>34</v>
      </c>
      <c r="H57" s="15">
        <v>9.69</v>
      </c>
      <c r="I57" s="15">
        <v>18702.560000000001</v>
      </c>
    </row>
    <row r="58" spans="2:9" x14ac:dyDescent="0.3">
      <c r="B58" s="13" t="s">
        <v>108</v>
      </c>
      <c r="C58" s="13" t="s">
        <v>38</v>
      </c>
      <c r="D58" s="13" t="s">
        <v>109</v>
      </c>
      <c r="E58" s="13" t="s">
        <v>40</v>
      </c>
      <c r="F58" s="13" t="s">
        <v>10</v>
      </c>
      <c r="G58" s="13" t="s">
        <v>41</v>
      </c>
      <c r="H58" s="15">
        <v>32.47</v>
      </c>
      <c r="I58" s="15">
        <v>18735.030000000002</v>
      </c>
    </row>
    <row r="59" spans="2:9" x14ac:dyDescent="0.3">
      <c r="B59" s="13" t="s">
        <v>110</v>
      </c>
      <c r="C59" s="13" t="s">
        <v>38</v>
      </c>
      <c r="D59" s="13" t="s">
        <v>111</v>
      </c>
      <c r="E59" s="13" t="s">
        <v>40</v>
      </c>
      <c r="F59" s="13" t="s">
        <v>112</v>
      </c>
      <c r="G59" s="13" t="s">
        <v>41</v>
      </c>
      <c r="H59" s="15">
        <v>390.51</v>
      </c>
      <c r="I59" s="15">
        <v>19125.54</v>
      </c>
    </row>
    <row r="60" spans="2:9" x14ac:dyDescent="0.3">
      <c r="B60" s="13" t="s">
        <v>110</v>
      </c>
      <c r="C60" s="13" t="s">
        <v>38</v>
      </c>
      <c r="D60" s="13" t="s">
        <v>113</v>
      </c>
      <c r="E60" s="13" t="s">
        <v>40</v>
      </c>
      <c r="F60" s="13" t="s">
        <v>112</v>
      </c>
      <c r="G60" s="13" t="s">
        <v>41</v>
      </c>
      <c r="H60" s="15">
        <v>13.94</v>
      </c>
      <c r="I60" s="15">
        <v>19139.48</v>
      </c>
    </row>
    <row r="61" spans="2:9" x14ac:dyDescent="0.3">
      <c r="B61" s="13" t="s">
        <v>114</v>
      </c>
      <c r="C61" s="13" t="s">
        <v>38</v>
      </c>
      <c r="D61" s="13" t="s">
        <v>115</v>
      </c>
      <c r="E61" s="13" t="s">
        <v>40</v>
      </c>
      <c r="F61" s="13" t="s">
        <v>10</v>
      </c>
      <c r="G61" s="13" t="s">
        <v>41</v>
      </c>
      <c r="H61" s="15">
        <v>29.49</v>
      </c>
      <c r="I61" s="15">
        <v>19168.97</v>
      </c>
    </row>
    <row r="62" spans="2:9" x14ac:dyDescent="0.3">
      <c r="B62" s="13" t="s">
        <v>114</v>
      </c>
      <c r="C62" s="13" t="s">
        <v>33</v>
      </c>
      <c r="D62" s="13" t="s">
        <v>10</v>
      </c>
      <c r="E62" s="13" t="s">
        <v>34</v>
      </c>
      <c r="F62" s="13" t="s">
        <v>10</v>
      </c>
      <c r="G62" s="13" t="s">
        <v>34</v>
      </c>
      <c r="H62" s="15">
        <v>116.68</v>
      </c>
      <c r="I62" s="15">
        <v>19285.650000000001</v>
      </c>
    </row>
    <row r="63" spans="2:9" x14ac:dyDescent="0.3">
      <c r="B63" s="13" t="s">
        <v>32</v>
      </c>
      <c r="C63" s="13" t="s">
        <v>33</v>
      </c>
      <c r="D63" s="13" t="s">
        <v>10</v>
      </c>
      <c r="E63" s="13" t="s">
        <v>34</v>
      </c>
      <c r="F63" s="13" t="s">
        <v>10</v>
      </c>
      <c r="G63" s="13" t="s">
        <v>34</v>
      </c>
      <c r="H63" s="15">
        <v>1</v>
      </c>
      <c r="I63" s="15">
        <v>19286.650000000001</v>
      </c>
    </row>
    <row r="64" spans="2:9" x14ac:dyDescent="0.3">
      <c r="B64" s="13" t="s">
        <v>116</v>
      </c>
      <c r="C64" s="13" t="s">
        <v>33</v>
      </c>
      <c r="D64" s="13" t="s">
        <v>10</v>
      </c>
      <c r="E64" s="13" t="s">
        <v>34</v>
      </c>
      <c r="F64" s="13" t="s">
        <v>10</v>
      </c>
      <c r="G64" s="13" t="s">
        <v>34</v>
      </c>
      <c r="H64" s="15">
        <v>37.67</v>
      </c>
      <c r="I64" s="15">
        <v>19324.32</v>
      </c>
    </row>
    <row r="65" spans="2:9" x14ac:dyDescent="0.3">
      <c r="B65" s="13" t="s">
        <v>116</v>
      </c>
      <c r="C65" s="13" t="s">
        <v>33</v>
      </c>
      <c r="D65" s="13" t="s">
        <v>10</v>
      </c>
      <c r="E65" s="13" t="s">
        <v>34</v>
      </c>
      <c r="F65" s="13" t="s">
        <v>10</v>
      </c>
      <c r="G65" s="13" t="s">
        <v>34</v>
      </c>
      <c r="H65" s="15">
        <v>12.8</v>
      </c>
      <c r="I65" s="15">
        <v>19337.12</v>
      </c>
    </row>
    <row r="66" spans="2:9" x14ac:dyDescent="0.3">
      <c r="B66" s="13" t="s">
        <v>116</v>
      </c>
      <c r="C66" s="13" t="s">
        <v>33</v>
      </c>
      <c r="D66" s="13" t="s">
        <v>10</v>
      </c>
      <c r="E66" s="13" t="s">
        <v>34</v>
      </c>
      <c r="F66" s="13" t="s">
        <v>10</v>
      </c>
      <c r="G66" s="13" t="s">
        <v>34</v>
      </c>
      <c r="H66" s="15">
        <v>12.8</v>
      </c>
      <c r="I66" s="15">
        <v>19349.919999999998</v>
      </c>
    </row>
    <row r="67" spans="2:9" x14ac:dyDescent="0.3">
      <c r="B67" s="13" t="s">
        <v>116</v>
      </c>
      <c r="C67" s="13" t="s">
        <v>117</v>
      </c>
      <c r="D67" s="13" t="s">
        <v>10</v>
      </c>
      <c r="E67" s="13" t="s">
        <v>34</v>
      </c>
      <c r="F67" s="13" t="s">
        <v>10</v>
      </c>
      <c r="G67" s="13" t="s">
        <v>34</v>
      </c>
      <c r="H67" s="15">
        <v>-42.78</v>
      </c>
      <c r="I67" s="15">
        <v>19307.14</v>
      </c>
    </row>
    <row r="68" spans="2:9" x14ac:dyDescent="0.3">
      <c r="B68" s="13" t="s">
        <v>118</v>
      </c>
      <c r="C68" s="13" t="s">
        <v>38</v>
      </c>
      <c r="D68" s="13" t="s">
        <v>119</v>
      </c>
      <c r="E68" s="13" t="s">
        <v>40</v>
      </c>
      <c r="F68" s="13" t="s">
        <v>10</v>
      </c>
      <c r="G68" s="13" t="s">
        <v>41</v>
      </c>
      <c r="H68" s="15">
        <v>118.03</v>
      </c>
      <c r="I68" s="15">
        <v>19425.169999999998</v>
      </c>
    </row>
    <row r="69" spans="2:9" x14ac:dyDescent="0.3">
      <c r="B69" s="13" t="s">
        <v>118</v>
      </c>
      <c r="C69" s="13" t="s">
        <v>38</v>
      </c>
      <c r="D69" s="13" t="s">
        <v>120</v>
      </c>
      <c r="E69" s="13" t="s">
        <v>40</v>
      </c>
      <c r="F69" s="13" t="s">
        <v>10</v>
      </c>
      <c r="G69" s="13" t="s">
        <v>41</v>
      </c>
      <c r="H69" s="15">
        <v>75.86</v>
      </c>
      <c r="I69" s="15">
        <v>19501.03</v>
      </c>
    </row>
    <row r="70" spans="2:9" x14ac:dyDescent="0.3">
      <c r="B70" s="13" t="s">
        <v>118</v>
      </c>
      <c r="C70" s="13" t="s">
        <v>38</v>
      </c>
      <c r="D70" s="13" t="s">
        <v>121</v>
      </c>
      <c r="E70" s="13" t="s">
        <v>40</v>
      </c>
      <c r="F70" s="13" t="s">
        <v>10</v>
      </c>
      <c r="G70" s="13" t="s">
        <v>41</v>
      </c>
      <c r="H70" s="15">
        <v>52.4</v>
      </c>
      <c r="I70" s="15">
        <v>19553.43</v>
      </c>
    </row>
    <row r="71" spans="2:9" x14ac:dyDescent="0.3">
      <c r="B71" s="13" t="s">
        <v>122</v>
      </c>
      <c r="C71" s="13" t="s">
        <v>38</v>
      </c>
      <c r="D71" s="13" t="s">
        <v>123</v>
      </c>
      <c r="E71" s="13" t="s">
        <v>40</v>
      </c>
      <c r="F71" s="13" t="s">
        <v>10</v>
      </c>
      <c r="G71" s="13" t="s">
        <v>41</v>
      </c>
      <c r="H71" s="15">
        <v>45.3</v>
      </c>
      <c r="I71" s="15">
        <v>19598.73</v>
      </c>
    </row>
    <row r="72" spans="2:9" x14ac:dyDescent="0.3">
      <c r="B72" s="13" t="s">
        <v>124</v>
      </c>
      <c r="C72" s="13" t="s">
        <v>38</v>
      </c>
      <c r="D72" s="13" t="s">
        <v>125</v>
      </c>
      <c r="E72" s="13" t="s">
        <v>40</v>
      </c>
      <c r="F72" s="13" t="s">
        <v>10</v>
      </c>
      <c r="G72" s="13" t="s">
        <v>41</v>
      </c>
      <c r="H72" s="15">
        <v>14.75</v>
      </c>
      <c r="I72" s="15">
        <v>19613.48</v>
      </c>
    </row>
    <row r="73" spans="2:9" x14ac:dyDescent="0.3">
      <c r="B73" s="13" t="s">
        <v>126</v>
      </c>
      <c r="C73" s="13" t="s">
        <v>64</v>
      </c>
      <c r="D73" s="13" t="s">
        <v>127</v>
      </c>
      <c r="E73" s="13" t="s">
        <v>40</v>
      </c>
      <c r="F73" s="13" t="s">
        <v>10</v>
      </c>
      <c r="G73" s="13" t="s">
        <v>41</v>
      </c>
      <c r="H73" s="15">
        <v>-24.28</v>
      </c>
      <c r="I73" s="15">
        <v>19589.2</v>
      </c>
    </row>
    <row r="74" spans="2:9" x14ac:dyDescent="0.3">
      <c r="B74" s="13" t="s">
        <v>126</v>
      </c>
      <c r="C74" s="13" t="s">
        <v>64</v>
      </c>
      <c r="D74" s="13" t="s">
        <v>128</v>
      </c>
      <c r="E74" s="13" t="s">
        <v>40</v>
      </c>
      <c r="F74" s="13" t="s">
        <v>10</v>
      </c>
      <c r="G74" s="13" t="s">
        <v>41</v>
      </c>
      <c r="H74" s="15">
        <v>-110.84</v>
      </c>
      <c r="I74" s="15">
        <v>19478.36</v>
      </c>
    </row>
    <row r="75" spans="2:9" x14ac:dyDescent="0.3">
      <c r="B75" s="13" t="s">
        <v>126</v>
      </c>
      <c r="C75" s="13" t="s">
        <v>64</v>
      </c>
      <c r="D75" s="13" t="s">
        <v>129</v>
      </c>
      <c r="E75" s="13" t="s">
        <v>40</v>
      </c>
      <c r="F75" s="13" t="s">
        <v>10</v>
      </c>
      <c r="G75" s="13" t="s">
        <v>41</v>
      </c>
      <c r="H75" s="15">
        <v>-40.78</v>
      </c>
      <c r="I75" s="15">
        <v>19437.580000000002</v>
      </c>
    </row>
    <row r="76" spans="2:9" x14ac:dyDescent="0.3">
      <c r="B76" s="13" t="s">
        <v>126</v>
      </c>
      <c r="C76" s="13" t="s">
        <v>64</v>
      </c>
      <c r="D76" s="13" t="s">
        <v>130</v>
      </c>
      <c r="E76" s="13" t="s">
        <v>40</v>
      </c>
      <c r="F76" s="13" t="s">
        <v>10</v>
      </c>
      <c r="G76" s="13" t="s">
        <v>41</v>
      </c>
      <c r="H76" s="15">
        <v>-12.57</v>
      </c>
      <c r="I76" s="15">
        <v>19425.010000000002</v>
      </c>
    </row>
    <row r="77" spans="2:9" x14ac:dyDescent="0.3">
      <c r="B77" s="13" t="s">
        <v>126</v>
      </c>
      <c r="C77" s="13" t="s">
        <v>64</v>
      </c>
      <c r="D77" s="13" t="s">
        <v>131</v>
      </c>
      <c r="E77" s="13" t="s">
        <v>40</v>
      </c>
      <c r="F77" s="13" t="s">
        <v>10</v>
      </c>
      <c r="G77" s="13" t="s">
        <v>41</v>
      </c>
      <c r="H77" s="15">
        <v>-11.48</v>
      </c>
      <c r="I77" s="15">
        <v>19413.530000000002</v>
      </c>
    </row>
    <row r="78" spans="2:9" x14ac:dyDescent="0.3">
      <c r="B78" s="13" t="s">
        <v>132</v>
      </c>
      <c r="C78" s="13" t="s">
        <v>38</v>
      </c>
      <c r="D78" s="13" t="s">
        <v>133</v>
      </c>
      <c r="E78" s="13" t="s">
        <v>40</v>
      </c>
      <c r="F78" s="13" t="s">
        <v>10</v>
      </c>
      <c r="G78" s="13" t="s">
        <v>41</v>
      </c>
      <c r="H78" s="15">
        <v>20.04</v>
      </c>
      <c r="I78" s="15">
        <v>19433.570000000003</v>
      </c>
    </row>
    <row r="79" spans="2:9" x14ac:dyDescent="0.3">
      <c r="B79" s="13" t="s">
        <v>134</v>
      </c>
      <c r="C79" s="13" t="s">
        <v>38</v>
      </c>
      <c r="D79" s="13" t="s">
        <v>135</v>
      </c>
      <c r="E79" s="13" t="s">
        <v>40</v>
      </c>
      <c r="F79" s="13" t="s">
        <v>136</v>
      </c>
      <c r="G79" s="13" t="s">
        <v>41</v>
      </c>
      <c r="H79" s="15">
        <v>11.96</v>
      </c>
      <c r="I79" s="15">
        <v>19445.530000000002</v>
      </c>
    </row>
    <row r="80" spans="2:9" x14ac:dyDescent="0.3">
      <c r="B80" s="13" t="s">
        <v>19</v>
      </c>
      <c r="C80" s="13" t="s">
        <v>38</v>
      </c>
      <c r="D80" s="13" t="s">
        <v>137</v>
      </c>
      <c r="E80" s="13" t="s">
        <v>40</v>
      </c>
      <c r="F80" s="13" t="s">
        <v>138</v>
      </c>
      <c r="G80" s="13" t="s">
        <v>41</v>
      </c>
      <c r="H80" s="15">
        <v>11.95</v>
      </c>
      <c r="I80" s="15">
        <v>19457.480000000003</v>
      </c>
    </row>
    <row r="81" spans="1:9" x14ac:dyDescent="0.3">
      <c r="B81" s="13" t="s">
        <v>139</v>
      </c>
      <c r="C81" s="13" t="s">
        <v>117</v>
      </c>
      <c r="D81" s="13" t="s">
        <v>10</v>
      </c>
      <c r="E81" s="13" t="s">
        <v>34</v>
      </c>
      <c r="F81" s="13" t="s">
        <v>10</v>
      </c>
      <c r="G81" s="13" t="s">
        <v>34</v>
      </c>
      <c r="H81" s="15">
        <v>-126.37</v>
      </c>
      <c r="I81" s="15">
        <v>19331.110000000004</v>
      </c>
    </row>
    <row r="82" spans="1:9" x14ac:dyDescent="0.3">
      <c r="B82" s="13" t="s">
        <v>140</v>
      </c>
      <c r="C82" s="13" t="s">
        <v>38</v>
      </c>
      <c r="D82" s="13" t="s">
        <v>141</v>
      </c>
      <c r="E82" s="13" t="s">
        <v>40</v>
      </c>
      <c r="F82" s="13" t="s">
        <v>10</v>
      </c>
      <c r="G82" s="13" t="s">
        <v>41</v>
      </c>
      <c r="H82" s="15">
        <v>7.17</v>
      </c>
      <c r="I82" s="15">
        <v>19338.280000000002</v>
      </c>
    </row>
    <row r="83" spans="1:9" x14ac:dyDescent="0.3">
      <c r="B83" s="13" t="s">
        <v>140</v>
      </c>
      <c r="C83" s="13" t="s">
        <v>38</v>
      </c>
      <c r="D83" s="13" t="s">
        <v>142</v>
      </c>
      <c r="E83" s="13" t="s">
        <v>40</v>
      </c>
      <c r="F83" s="13" t="s">
        <v>10</v>
      </c>
      <c r="G83" s="13" t="s">
        <v>41</v>
      </c>
      <c r="H83" s="15">
        <v>12.96</v>
      </c>
      <c r="I83" s="15">
        <v>19351.240000000002</v>
      </c>
    </row>
    <row r="84" spans="1:9" x14ac:dyDescent="0.3">
      <c r="B84" s="13" t="s">
        <v>25</v>
      </c>
      <c r="C84" s="13" t="s">
        <v>38</v>
      </c>
      <c r="D84" s="13" t="s">
        <v>143</v>
      </c>
      <c r="E84" s="13" t="s">
        <v>40</v>
      </c>
      <c r="F84" s="13" t="s">
        <v>10</v>
      </c>
      <c r="G84" s="13" t="s">
        <v>41</v>
      </c>
      <c r="H84" s="15">
        <v>9.81</v>
      </c>
      <c r="I84" s="15">
        <v>19361.050000000003</v>
      </c>
    </row>
    <row r="85" spans="1:9" x14ac:dyDescent="0.3">
      <c r="B85" s="13" t="s">
        <v>144</v>
      </c>
      <c r="C85" s="13" t="s">
        <v>38</v>
      </c>
      <c r="D85" s="13" t="s">
        <v>10</v>
      </c>
      <c r="E85" s="13" t="s">
        <v>40</v>
      </c>
      <c r="F85" s="13" t="s">
        <v>10</v>
      </c>
      <c r="G85" s="13" t="s">
        <v>41</v>
      </c>
      <c r="H85" s="15">
        <v>138.91999999999999</v>
      </c>
      <c r="I85" s="15">
        <v>19499.97</v>
      </c>
    </row>
    <row r="86" spans="1:9" x14ac:dyDescent="0.3">
      <c r="B86" s="13" t="s">
        <v>145</v>
      </c>
      <c r="C86" s="13" t="s">
        <v>38</v>
      </c>
      <c r="D86" s="13" t="s">
        <v>146</v>
      </c>
      <c r="E86" s="13" t="s">
        <v>40</v>
      </c>
      <c r="F86" s="13" t="s">
        <v>147</v>
      </c>
      <c r="G86" s="13" t="s">
        <v>41</v>
      </c>
      <c r="H86" s="15">
        <v>8.8000000000000007</v>
      </c>
      <c r="I86" s="15">
        <v>19508.77</v>
      </c>
    </row>
    <row r="87" spans="1:9" x14ac:dyDescent="0.3">
      <c r="B87" s="13" t="s">
        <v>148</v>
      </c>
      <c r="C87" s="13" t="s">
        <v>64</v>
      </c>
      <c r="D87" s="13" t="s">
        <v>149</v>
      </c>
      <c r="E87" s="13" t="s">
        <v>77</v>
      </c>
      <c r="F87" s="13" t="s">
        <v>10</v>
      </c>
      <c r="G87" s="13" t="s">
        <v>41</v>
      </c>
      <c r="H87" s="15">
        <v>-649.73</v>
      </c>
      <c r="I87" s="15">
        <v>18859.04</v>
      </c>
    </row>
    <row r="88" spans="1:9" x14ac:dyDescent="0.3">
      <c r="B88" s="13" t="s">
        <v>150</v>
      </c>
      <c r="C88" s="13" t="s">
        <v>38</v>
      </c>
      <c r="D88" s="13" t="s">
        <v>151</v>
      </c>
      <c r="E88" s="13" t="s">
        <v>40</v>
      </c>
      <c r="F88" s="13" t="s">
        <v>10</v>
      </c>
      <c r="G88" s="13" t="s">
        <v>41</v>
      </c>
      <c r="H88" s="15">
        <v>105.36</v>
      </c>
      <c r="I88" s="15">
        <v>18964.400000000001</v>
      </c>
    </row>
    <row r="89" spans="1:9" x14ac:dyDescent="0.3">
      <c r="B89" s="13" t="s">
        <v>150</v>
      </c>
      <c r="C89" s="13" t="s">
        <v>38</v>
      </c>
      <c r="D89" s="13" t="s">
        <v>152</v>
      </c>
      <c r="E89" s="13" t="s">
        <v>40</v>
      </c>
      <c r="F89" s="13" t="s">
        <v>10</v>
      </c>
      <c r="G89" s="13" t="s">
        <v>41</v>
      </c>
      <c r="H89" s="15">
        <v>701.4</v>
      </c>
      <c r="I89" s="15">
        <v>19665.800000000003</v>
      </c>
    </row>
    <row r="90" spans="1:9" x14ac:dyDescent="0.3">
      <c r="A90" s="7" t="s">
        <v>153</v>
      </c>
      <c r="H90" s="16">
        <f>H22+H23+H24+H25+H26+H27+H28+H29+H30+H31+H32+H33+H34+H35+H36+H37+H38+H39+H40+H41+H42+H43+H44+H45+H46+H47+H48+H49+H50+H51+H52+H53+H54+H55+H56+H57+H58+H59+H60+H61+H62+H63+H64+H65+H66+H67+H68+H69+H70+H71+H72+H73+H74+H75+H76+H77+H78+H79+H80+H81+H82+H83+H84+H85+H86+H87+H88+H89</f>
        <v>19665.800000000003</v>
      </c>
    </row>
    <row r="91" spans="1:9" x14ac:dyDescent="0.3">
      <c r="A91" s="6" t="s">
        <v>154</v>
      </c>
    </row>
    <row r="92" spans="1:9" x14ac:dyDescent="0.3">
      <c r="A92" s="6" t="s">
        <v>155</v>
      </c>
    </row>
    <row r="93" spans="1:9" x14ac:dyDescent="0.3">
      <c r="B93" s="13" t="s">
        <v>6</v>
      </c>
      <c r="C93" s="13" t="s">
        <v>38</v>
      </c>
      <c r="D93" s="13" t="s">
        <v>156</v>
      </c>
      <c r="E93" s="13" t="s">
        <v>157</v>
      </c>
      <c r="F93" s="13" t="s">
        <v>158</v>
      </c>
      <c r="G93" s="13" t="s">
        <v>41</v>
      </c>
      <c r="H93" s="15">
        <v>1101.0999999999999</v>
      </c>
      <c r="I93" s="15">
        <v>1101.0999999999999</v>
      </c>
    </row>
    <row r="94" spans="1:9" x14ac:dyDescent="0.3">
      <c r="B94" s="13" t="s">
        <v>57</v>
      </c>
      <c r="C94" s="13" t="s">
        <v>38</v>
      </c>
      <c r="D94" s="13" t="s">
        <v>159</v>
      </c>
      <c r="E94" s="13" t="s">
        <v>157</v>
      </c>
      <c r="F94" s="13" t="s">
        <v>10</v>
      </c>
      <c r="G94" s="13" t="s">
        <v>41</v>
      </c>
      <c r="H94" s="15">
        <v>1281.28</v>
      </c>
      <c r="I94" s="15">
        <v>2382.38</v>
      </c>
    </row>
    <row r="95" spans="1:9" x14ac:dyDescent="0.3">
      <c r="B95" s="13" t="s">
        <v>160</v>
      </c>
      <c r="C95" s="13" t="s">
        <v>38</v>
      </c>
      <c r="D95" s="13" t="s">
        <v>161</v>
      </c>
      <c r="E95" s="13" t="s">
        <v>157</v>
      </c>
      <c r="F95" s="13" t="s">
        <v>10</v>
      </c>
      <c r="G95" s="13" t="s">
        <v>41</v>
      </c>
      <c r="H95" s="15">
        <v>1601.6</v>
      </c>
      <c r="I95" s="15">
        <v>3983.98</v>
      </c>
    </row>
    <row r="96" spans="1:9" x14ac:dyDescent="0.3">
      <c r="B96" s="13" t="s">
        <v>72</v>
      </c>
      <c r="C96" s="13" t="s">
        <v>38</v>
      </c>
      <c r="D96" s="13" t="s">
        <v>162</v>
      </c>
      <c r="E96" s="13" t="s">
        <v>157</v>
      </c>
      <c r="F96" s="13" t="s">
        <v>10</v>
      </c>
      <c r="G96" s="13" t="s">
        <v>41</v>
      </c>
      <c r="H96" s="15">
        <v>1581.58</v>
      </c>
      <c r="I96" s="15">
        <v>5565.5599999999995</v>
      </c>
    </row>
    <row r="97" spans="1:9" x14ac:dyDescent="0.3">
      <c r="B97" s="13" t="s">
        <v>163</v>
      </c>
      <c r="C97" s="13" t="s">
        <v>38</v>
      </c>
      <c r="D97" s="13" t="s">
        <v>164</v>
      </c>
      <c r="E97" s="13" t="s">
        <v>157</v>
      </c>
      <c r="F97" s="13" t="s">
        <v>158</v>
      </c>
      <c r="G97" s="13" t="s">
        <v>41</v>
      </c>
      <c r="H97" s="15">
        <v>1601.6</v>
      </c>
      <c r="I97" s="15">
        <v>7167.16</v>
      </c>
    </row>
    <row r="98" spans="1:9" x14ac:dyDescent="0.3">
      <c r="B98" s="13" t="s">
        <v>165</v>
      </c>
      <c r="C98" s="13" t="s">
        <v>38</v>
      </c>
      <c r="D98" s="13" t="s">
        <v>166</v>
      </c>
      <c r="E98" s="13" t="s">
        <v>157</v>
      </c>
      <c r="F98" s="13" t="s">
        <v>10</v>
      </c>
      <c r="G98" s="13" t="s">
        <v>41</v>
      </c>
      <c r="H98" s="15">
        <v>500.5</v>
      </c>
      <c r="I98" s="15">
        <v>7667.66</v>
      </c>
    </row>
    <row r="99" spans="1:9" x14ac:dyDescent="0.3">
      <c r="B99" s="13" t="s">
        <v>167</v>
      </c>
      <c r="C99" s="13" t="s">
        <v>38</v>
      </c>
      <c r="D99" s="13" t="s">
        <v>168</v>
      </c>
      <c r="E99" s="13" t="s">
        <v>157</v>
      </c>
      <c r="F99" s="13" t="s">
        <v>169</v>
      </c>
      <c r="G99" s="13" t="s">
        <v>41</v>
      </c>
      <c r="H99" s="15">
        <v>371.2</v>
      </c>
      <c r="I99" s="15">
        <v>8038.86</v>
      </c>
    </row>
    <row r="100" spans="1:9" x14ac:dyDescent="0.3">
      <c r="B100" s="13" t="s">
        <v>170</v>
      </c>
      <c r="C100" s="13" t="s">
        <v>38</v>
      </c>
      <c r="D100" s="13" t="s">
        <v>171</v>
      </c>
      <c r="E100" s="13" t="s">
        <v>157</v>
      </c>
      <c r="F100" s="13" t="s">
        <v>169</v>
      </c>
      <c r="G100" s="13" t="s">
        <v>41</v>
      </c>
      <c r="H100" s="15">
        <v>1020.8</v>
      </c>
      <c r="I100" s="15">
        <v>9059.66</v>
      </c>
    </row>
    <row r="101" spans="1:9" x14ac:dyDescent="0.3">
      <c r="B101" s="13" t="s">
        <v>170</v>
      </c>
      <c r="C101" s="13" t="s">
        <v>38</v>
      </c>
      <c r="D101" s="13" t="s">
        <v>171</v>
      </c>
      <c r="E101" s="13" t="s">
        <v>157</v>
      </c>
      <c r="F101" s="13" t="s">
        <v>158</v>
      </c>
      <c r="G101" s="13" t="s">
        <v>41</v>
      </c>
      <c r="H101" s="15">
        <v>1441.44</v>
      </c>
      <c r="I101" s="15">
        <v>10501.1</v>
      </c>
    </row>
    <row r="102" spans="1:9" x14ac:dyDescent="0.3">
      <c r="B102" s="13" t="s">
        <v>172</v>
      </c>
      <c r="C102" s="13" t="s">
        <v>38</v>
      </c>
      <c r="D102" s="13" t="s">
        <v>173</v>
      </c>
      <c r="E102" s="13" t="s">
        <v>157</v>
      </c>
      <c r="F102" s="13" t="s">
        <v>158</v>
      </c>
      <c r="G102" s="13" t="s">
        <v>41</v>
      </c>
      <c r="H102" s="15">
        <v>1501.5</v>
      </c>
      <c r="I102" s="15">
        <v>12002.6</v>
      </c>
    </row>
    <row r="103" spans="1:9" x14ac:dyDescent="0.3">
      <c r="B103" s="13" t="s">
        <v>174</v>
      </c>
      <c r="C103" s="13" t="s">
        <v>38</v>
      </c>
      <c r="D103" s="13" t="s">
        <v>175</v>
      </c>
      <c r="E103" s="13" t="s">
        <v>157</v>
      </c>
      <c r="F103" s="13" t="s">
        <v>158</v>
      </c>
      <c r="G103" s="13" t="s">
        <v>41</v>
      </c>
      <c r="H103" s="15">
        <v>1281.28</v>
      </c>
      <c r="I103" s="15">
        <v>13283.880000000001</v>
      </c>
    </row>
    <row r="104" spans="1:9" x14ac:dyDescent="0.3">
      <c r="B104" s="13" t="s">
        <v>101</v>
      </c>
      <c r="C104" s="13" t="s">
        <v>38</v>
      </c>
      <c r="D104" s="13" t="s">
        <v>176</v>
      </c>
      <c r="E104" s="13" t="s">
        <v>157</v>
      </c>
      <c r="F104" s="13" t="s">
        <v>158</v>
      </c>
      <c r="G104" s="13" t="s">
        <v>41</v>
      </c>
      <c r="H104" s="15">
        <v>1281.28</v>
      </c>
      <c r="I104" s="15">
        <v>14565.160000000002</v>
      </c>
    </row>
    <row r="105" spans="1:9" x14ac:dyDescent="0.3">
      <c r="B105" s="13" t="s">
        <v>110</v>
      </c>
      <c r="C105" s="13" t="s">
        <v>38</v>
      </c>
      <c r="D105" s="13" t="s">
        <v>177</v>
      </c>
      <c r="E105" s="13" t="s">
        <v>157</v>
      </c>
      <c r="F105" s="13" t="s">
        <v>158</v>
      </c>
      <c r="G105" s="13" t="s">
        <v>41</v>
      </c>
      <c r="H105" s="15">
        <v>1501.5</v>
      </c>
      <c r="I105" s="15">
        <v>16066.660000000002</v>
      </c>
    </row>
    <row r="106" spans="1:9" x14ac:dyDescent="0.3">
      <c r="B106" s="13" t="s">
        <v>32</v>
      </c>
      <c r="C106" s="13" t="s">
        <v>38</v>
      </c>
      <c r="D106" s="13" t="s">
        <v>178</v>
      </c>
      <c r="E106" s="13" t="s">
        <v>157</v>
      </c>
      <c r="F106" s="13" t="s">
        <v>10</v>
      </c>
      <c r="G106" s="13" t="s">
        <v>41</v>
      </c>
      <c r="H106" s="15">
        <v>1561.56</v>
      </c>
      <c r="I106" s="15">
        <v>17628.22</v>
      </c>
    </row>
    <row r="107" spans="1:9" x14ac:dyDescent="0.3">
      <c r="B107" s="13" t="s">
        <v>16</v>
      </c>
      <c r="C107" s="13" t="s">
        <v>38</v>
      </c>
      <c r="D107" s="13" t="s">
        <v>179</v>
      </c>
      <c r="E107" s="13" t="s">
        <v>157</v>
      </c>
      <c r="F107" s="13" t="s">
        <v>10</v>
      </c>
      <c r="G107" s="13" t="s">
        <v>41</v>
      </c>
      <c r="H107" s="15">
        <v>960.96</v>
      </c>
      <c r="I107" s="15">
        <v>18589.18</v>
      </c>
    </row>
    <row r="108" spans="1:9" x14ac:dyDescent="0.3">
      <c r="B108" s="13" t="s">
        <v>180</v>
      </c>
      <c r="C108" s="13" t="s">
        <v>38</v>
      </c>
      <c r="D108" s="13" t="s">
        <v>181</v>
      </c>
      <c r="E108" s="13" t="s">
        <v>157</v>
      </c>
      <c r="F108" s="13" t="s">
        <v>10</v>
      </c>
      <c r="G108" s="13" t="s">
        <v>41</v>
      </c>
      <c r="H108" s="15">
        <v>1201.2</v>
      </c>
      <c r="I108" s="15">
        <v>19790.38</v>
      </c>
    </row>
    <row r="109" spans="1:9" x14ac:dyDescent="0.3">
      <c r="B109" s="13" t="s">
        <v>182</v>
      </c>
      <c r="C109" s="13" t="s">
        <v>38</v>
      </c>
      <c r="D109" s="13" t="s">
        <v>183</v>
      </c>
      <c r="E109" s="13" t="s">
        <v>157</v>
      </c>
      <c r="F109" s="13" t="s">
        <v>10</v>
      </c>
      <c r="G109" s="13" t="s">
        <v>41</v>
      </c>
      <c r="H109" s="15">
        <v>371.2</v>
      </c>
      <c r="I109" s="15">
        <v>20161.580000000002</v>
      </c>
    </row>
    <row r="110" spans="1:9" x14ac:dyDescent="0.3">
      <c r="A110" s="9" t="s">
        <v>184</v>
      </c>
      <c r="H110" s="16">
        <f>H93+H94+H95+H96+H97+H98+H99+H100+H101+H102+H103+H104+H105+H106+H107+H108+H109</f>
        <v>20161.580000000002</v>
      </c>
    </row>
    <row r="111" spans="1:9" x14ac:dyDescent="0.3">
      <c r="A111" s="6" t="s">
        <v>185</v>
      </c>
    </row>
    <row r="112" spans="1:9" x14ac:dyDescent="0.3">
      <c r="B112" s="13" t="s">
        <v>186</v>
      </c>
      <c r="C112" s="13" t="s">
        <v>38</v>
      </c>
      <c r="D112" s="13" t="s">
        <v>187</v>
      </c>
      <c r="E112" s="13" t="s">
        <v>188</v>
      </c>
      <c r="F112" s="13" t="s">
        <v>10</v>
      </c>
      <c r="G112" s="13" t="s">
        <v>41</v>
      </c>
      <c r="H112" s="15">
        <v>1160</v>
      </c>
      <c r="I112" s="15">
        <v>1160</v>
      </c>
    </row>
    <row r="113" spans="1:9" x14ac:dyDescent="0.3">
      <c r="A113" s="9" t="s">
        <v>189</v>
      </c>
      <c r="H113" s="16">
        <f>H112</f>
        <v>1160</v>
      </c>
    </row>
    <row r="114" spans="1:9" x14ac:dyDescent="0.3">
      <c r="A114" s="7" t="s">
        <v>190</v>
      </c>
      <c r="H114" s="16">
        <f>H110+H113</f>
        <v>21321.58</v>
      </c>
    </row>
    <row r="115" spans="1:9" x14ac:dyDescent="0.3">
      <c r="A115" s="8" t="s">
        <v>191</v>
      </c>
      <c r="H115" s="16">
        <f>H20+H90+H114</f>
        <v>41497.310000000005</v>
      </c>
    </row>
    <row r="116" spans="1:9" x14ac:dyDescent="0.3">
      <c r="A116" s="8" t="s">
        <v>192</v>
      </c>
      <c r="H116" s="16">
        <f>H16-H115</f>
        <v>45000.689999999995</v>
      </c>
    </row>
    <row r="117" spans="1:9" x14ac:dyDescent="0.3">
      <c r="A117" s="6" t="s">
        <v>193</v>
      </c>
    </row>
    <row r="118" spans="1:9" x14ac:dyDescent="0.3">
      <c r="A118" s="6" t="s">
        <v>194</v>
      </c>
    </row>
    <row r="119" spans="1:9" x14ac:dyDescent="0.3">
      <c r="A119" s="6" t="s">
        <v>195</v>
      </c>
    </row>
    <row r="120" spans="1:9" x14ac:dyDescent="0.3">
      <c r="B120" s="13" t="s">
        <v>196</v>
      </c>
      <c r="C120" s="13" t="s">
        <v>79</v>
      </c>
      <c r="D120" s="13" t="s">
        <v>197</v>
      </c>
      <c r="E120" s="13" t="s">
        <v>198</v>
      </c>
      <c r="F120" s="13" t="s">
        <v>199</v>
      </c>
      <c r="G120" s="13" t="s">
        <v>83</v>
      </c>
      <c r="H120" s="15">
        <v>21.75</v>
      </c>
      <c r="I120" s="15">
        <v>21.75</v>
      </c>
    </row>
    <row r="121" spans="1:9" x14ac:dyDescent="0.3">
      <c r="B121" s="13" t="s">
        <v>196</v>
      </c>
      <c r="C121" s="13" t="s">
        <v>79</v>
      </c>
      <c r="D121" s="13" t="s">
        <v>197</v>
      </c>
      <c r="E121" s="13" t="s">
        <v>198</v>
      </c>
      <c r="F121" s="13" t="s">
        <v>200</v>
      </c>
      <c r="G121" s="13" t="s">
        <v>83</v>
      </c>
      <c r="H121" s="15">
        <v>5.08</v>
      </c>
      <c r="I121" s="15">
        <v>26.83</v>
      </c>
    </row>
    <row r="122" spans="1:9" x14ac:dyDescent="0.3">
      <c r="B122" s="13" t="s">
        <v>201</v>
      </c>
      <c r="C122" s="13" t="s">
        <v>79</v>
      </c>
      <c r="D122" s="13" t="s">
        <v>197</v>
      </c>
      <c r="E122" s="13" t="s">
        <v>198</v>
      </c>
      <c r="F122" s="13" t="s">
        <v>199</v>
      </c>
      <c r="G122" s="13" t="s">
        <v>83</v>
      </c>
      <c r="H122" s="15">
        <v>42.56</v>
      </c>
      <c r="I122" s="15">
        <v>69.39</v>
      </c>
    </row>
    <row r="123" spans="1:9" x14ac:dyDescent="0.3">
      <c r="B123" s="13" t="s">
        <v>201</v>
      </c>
      <c r="C123" s="13" t="s">
        <v>79</v>
      </c>
      <c r="D123" s="13" t="s">
        <v>197</v>
      </c>
      <c r="E123" s="13" t="s">
        <v>198</v>
      </c>
      <c r="F123" s="13" t="s">
        <v>200</v>
      </c>
      <c r="G123" s="13" t="s">
        <v>83</v>
      </c>
      <c r="H123" s="15">
        <v>9.9499999999999993</v>
      </c>
      <c r="I123" s="15">
        <v>79.34</v>
      </c>
    </row>
    <row r="124" spans="1:9" x14ac:dyDescent="0.3">
      <c r="B124" s="13" t="s">
        <v>202</v>
      </c>
      <c r="C124" s="13" t="s">
        <v>79</v>
      </c>
      <c r="D124" s="13" t="s">
        <v>197</v>
      </c>
      <c r="E124" s="13" t="s">
        <v>198</v>
      </c>
      <c r="F124" s="13" t="s">
        <v>199</v>
      </c>
      <c r="G124" s="13" t="s">
        <v>83</v>
      </c>
      <c r="H124" s="15">
        <v>133.07</v>
      </c>
      <c r="I124" s="15">
        <v>212.41</v>
      </c>
    </row>
    <row r="125" spans="1:9" x14ac:dyDescent="0.3">
      <c r="B125" s="13" t="s">
        <v>202</v>
      </c>
      <c r="C125" s="13" t="s">
        <v>79</v>
      </c>
      <c r="D125" s="13" t="s">
        <v>197</v>
      </c>
      <c r="E125" s="13" t="s">
        <v>198</v>
      </c>
      <c r="F125" s="13" t="s">
        <v>200</v>
      </c>
      <c r="G125" s="13" t="s">
        <v>83</v>
      </c>
      <c r="H125" s="15">
        <v>31.12</v>
      </c>
      <c r="I125" s="15">
        <v>243.53</v>
      </c>
    </row>
    <row r="126" spans="1:9" x14ac:dyDescent="0.3">
      <c r="B126" s="13" t="s">
        <v>203</v>
      </c>
      <c r="C126" s="13" t="s">
        <v>79</v>
      </c>
      <c r="D126" s="13" t="s">
        <v>197</v>
      </c>
      <c r="E126" s="13" t="s">
        <v>198</v>
      </c>
      <c r="F126" s="13" t="s">
        <v>199</v>
      </c>
      <c r="G126" s="13" t="s">
        <v>83</v>
      </c>
      <c r="H126" s="15">
        <v>128.4</v>
      </c>
      <c r="I126" s="15">
        <v>371.93</v>
      </c>
    </row>
    <row r="127" spans="1:9" x14ac:dyDescent="0.3">
      <c r="B127" s="13" t="s">
        <v>203</v>
      </c>
      <c r="C127" s="13" t="s">
        <v>79</v>
      </c>
      <c r="D127" s="13" t="s">
        <v>197</v>
      </c>
      <c r="E127" s="13" t="s">
        <v>198</v>
      </c>
      <c r="F127" s="13" t="s">
        <v>200</v>
      </c>
      <c r="G127" s="13" t="s">
        <v>83</v>
      </c>
      <c r="H127" s="15">
        <v>30.03</v>
      </c>
      <c r="I127" s="15">
        <v>401.96000000000004</v>
      </c>
    </row>
    <row r="128" spans="1:9" x14ac:dyDescent="0.3">
      <c r="B128" s="13" t="s">
        <v>204</v>
      </c>
      <c r="C128" s="13" t="s">
        <v>79</v>
      </c>
      <c r="D128" s="13" t="s">
        <v>197</v>
      </c>
      <c r="E128" s="13" t="s">
        <v>198</v>
      </c>
      <c r="F128" s="13" t="s">
        <v>199</v>
      </c>
      <c r="G128" s="13" t="s">
        <v>83</v>
      </c>
      <c r="H128" s="15">
        <v>66.34</v>
      </c>
      <c r="I128" s="15">
        <v>468.30000000000007</v>
      </c>
    </row>
    <row r="129" spans="1:9" x14ac:dyDescent="0.3">
      <c r="B129" s="13" t="s">
        <v>204</v>
      </c>
      <c r="C129" s="13" t="s">
        <v>79</v>
      </c>
      <c r="D129" s="13" t="s">
        <v>197</v>
      </c>
      <c r="E129" s="13" t="s">
        <v>198</v>
      </c>
      <c r="F129" s="13" t="s">
        <v>200</v>
      </c>
      <c r="G129" s="13" t="s">
        <v>83</v>
      </c>
      <c r="H129" s="15">
        <v>15.52</v>
      </c>
      <c r="I129" s="15">
        <v>483.82000000000005</v>
      </c>
    </row>
    <row r="130" spans="1:9" x14ac:dyDescent="0.3">
      <c r="B130" s="13" t="s">
        <v>205</v>
      </c>
      <c r="C130" s="13" t="s">
        <v>79</v>
      </c>
      <c r="D130" s="13" t="s">
        <v>197</v>
      </c>
      <c r="E130" s="13" t="s">
        <v>198</v>
      </c>
      <c r="F130" s="13" t="s">
        <v>199</v>
      </c>
      <c r="G130" s="13" t="s">
        <v>83</v>
      </c>
      <c r="H130" s="15">
        <v>79.290000000000006</v>
      </c>
      <c r="I130" s="15">
        <v>563.11</v>
      </c>
    </row>
    <row r="131" spans="1:9" x14ac:dyDescent="0.3">
      <c r="B131" s="13" t="s">
        <v>205</v>
      </c>
      <c r="C131" s="13" t="s">
        <v>79</v>
      </c>
      <c r="D131" s="13" t="s">
        <v>197</v>
      </c>
      <c r="E131" s="13" t="s">
        <v>198</v>
      </c>
      <c r="F131" s="13" t="s">
        <v>200</v>
      </c>
      <c r="G131" s="13" t="s">
        <v>83</v>
      </c>
      <c r="H131" s="15">
        <v>18.54</v>
      </c>
      <c r="I131" s="15">
        <v>581.65</v>
      </c>
    </row>
    <row r="132" spans="1:9" x14ac:dyDescent="0.3">
      <c r="B132" s="13" t="s">
        <v>206</v>
      </c>
      <c r="C132" s="13" t="s">
        <v>79</v>
      </c>
      <c r="D132" s="13" t="s">
        <v>197</v>
      </c>
      <c r="E132" s="13" t="s">
        <v>198</v>
      </c>
      <c r="F132" s="13" t="s">
        <v>199</v>
      </c>
      <c r="G132" s="13" t="s">
        <v>83</v>
      </c>
      <c r="H132" s="15">
        <v>55.64</v>
      </c>
      <c r="I132" s="15">
        <v>637.29</v>
      </c>
    </row>
    <row r="133" spans="1:9" x14ac:dyDescent="0.3">
      <c r="B133" s="13" t="s">
        <v>206</v>
      </c>
      <c r="C133" s="13" t="s">
        <v>79</v>
      </c>
      <c r="D133" s="13" t="s">
        <v>197</v>
      </c>
      <c r="E133" s="13" t="s">
        <v>198</v>
      </c>
      <c r="F133" s="13" t="s">
        <v>200</v>
      </c>
      <c r="G133" s="13" t="s">
        <v>83</v>
      </c>
      <c r="H133" s="15">
        <v>13.01</v>
      </c>
      <c r="I133" s="15">
        <v>650.29999999999995</v>
      </c>
    </row>
    <row r="134" spans="1:9" x14ac:dyDescent="0.3">
      <c r="B134" s="13" t="s">
        <v>207</v>
      </c>
      <c r="C134" s="13" t="s">
        <v>79</v>
      </c>
      <c r="D134" s="13" t="s">
        <v>197</v>
      </c>
      <c r="E134" s="13" t="s">
        <v>198</v>
      </c>
      <c r="F134" s="13" t="s">
        <v>199</v>
      </c>
      <c r="G134" s="13" t="s">
        <v>83</v>
      </c>
      <c r="H134" s="15">
        <v>136.55000000000001</v>
      </c>
      <c r="I134" s="15">
        <v>786.84999999999991</v>
      </c>
    </row>
    <row r="135" spans="1:9" x14ac:dyDescent="0.3">
      <c r="B135" s="13" t="s">
        <v>207</v>
      </c>
      <c r="C135" s="13" t="s">
        <v>79</v>
      </c>
      <c r="D135" s="13" t="s">
        <v>197</v>
      </c>
      <c r="E135" s="13" t="s">
        <v>198</v>
      </c>
      <c r="F135" s="13" t="s">
        <v>200</v>
      </c>
      <c r="G135" s="13" t="s">
        <v>83</v>
      </c>
      <c r="H135" s="15">
        <v>31.93</v>
      </c>
      <c r="I135" s="15">
        <v>818.77999999999986</v>
      </c>
    </row>
    <row r="136" spans="1:9" x14ac:dyDescent="0.3">
      <c r="B136" s="13" t="s">
        <v>207</v>
      </c>
      <c r="C136" s="13" t="s">
        <v>79</v>
      </c>
      <c r="D136" s="13" t="s">
        <v>197</v>
      </c>
      <c r="E136" s="13" t="s">
        <v>208</v>
      </c>
      <c r="F136" s="13" t="s">
        <v>199</v>
      </c>
      <c r="G136" s="13" t="s">
        <v>83</v>
      </c>
      <c r="H136" s="15">
        <v>1.99</v>
      </c>
      <c r="I136" s="15">
        <v>820.76999999999987</v>
      </c>
    </row>
    <row r="137" spans="1:9" x14ac:dyDescent="0.3">
      <c r="B137" s="13" t="s">
        <v>207</v>
      </c>
      <c r="C137" s="13" t="s">
        <v>79</v>
      </c>
      <c r="D137" s="13" t="s">
        <v>197</v>
      </c>
      <c r="E137" s="13" t="s">
        <v>208</v>
      </c>
      <c r="F137" s="13" t="s">
        <v>200</v>
      </c>
      <c r="G137" s="13" t="s">
        <v>83</v>
      </c>
      <c r="H137" s="15">
        <v>0.47</v>
      </c>
      <c r="I137" s="15">
        <v>821.2399999999999</v>
      </c>
    </row>
    <row r="138" spans="1:9" x14ac:dyDescent="0.3">
      <c r="A138" s="9" t="s">
        <v>209</v>
      </c>
      <c r="H138" s="16">
        <f>H120+H121+H122+H123+H124+H125+H126+H127+H128+H129+H130+H131+H132+H133+H134+H135+H136+H137</f>
        <v>821.2399999999999</v>
      </c>
    </row>
    <row r="139" spans="1:9" x14ac:dyDescent="0.3">
      <c r="A139" s="6" t="s">
        <v>210</v>
      </c>
    </row>
    <row r="140" spans="1:9" x14ac:dyDescent="0.3">
      <c r="B140" s="13" t="s">
        <v>196</v>
      </c>
      <c r="C140" s="13" t="s">
        <v>79</v>
      </c>
      <c r="D140" s="13" t="s">
        <v>197</v>
      </c>
      <c r="E140" s="13" t="s">
        <v>198</v>
      </c>
      <c r="F140" s="13" t="s">
        <v>211</v>
      </c>
      <c r="G140" s="13" t="s">
        <v>83</v>
      </c>
      <c r="H140" s="17">
        <v>0</v>
      </c>
      <c r="I140" s="17">
        <v>0</v>
      </c>
    </row>
    <row r="141" spans="1:9" x14ac:dyDescent="0.3">
      <c r="B141" s="13" t="s">
        <v>201</v>
      </c>
      <c r="C141" s="13" t="s">
        <v>79</v>
      </c>
      <c r="D141" s="13" t="s">
        <v>197</v>
      </c>
      <c r="E141" s="13" t="s">
        <v>198</v>
      </c>
      <c r="F141" s="13" t="s">
        <v>211</v>
      </c>
      <c r="G141" s="13" t="s">
        <v>83</v>
      </c>
      <c r="H141" s="17">
        <v>0</v>
      </c>
      <c r="I141" s="17">
        <v>0</v>
      </c>
    </row>
    <row r="142" spans="1:9" x14ac:dyDescent="0.3">
      <c r="B142" s="13" t="s">
        <v>202</v>
      </c>
      <c r="C142" s="13" t="s">
        <v>79</v>
      </c>
      <c r="D142" s="13" t="s">
        <v>197</v>
      </c>
      <c r="E142" s="13" t="s">
        <v>198</v>
      </c>
      <c r="F142" s="13" t="s">
        <v>211</v>
      </c>
      <c r="G142" s="13" t="s">
        <v>83</v>
      </c>
      <c r="H142" s="17">
        <v>0</v>
      </c>
      <c r="I142" s="17">
        <v>0</v>
      </c>
    </row>
    <row r="143" spans="1:9" x14ac:dyDescent="0.3">
      <c r="B143" s="13" t="s">
        <v>203</v>
      </c>
      <c r="C143" s="13" t="s">
        <v>79</v>
      </c>
      <c r="D143" s="13" t="s">
        <v>197</v>
      </c>
      <c r="E143" s="13" t="s">
        <v>198</v>
      </c>
      <c r="F143" s="13" t="s">
        <v>211</v>
      </c>
      <c r="G143" s="13" t="s">
        <v>83</v>
      </c>
      <c r="H143" s="17">
        <v>0</v>
      </c>
      <c r="I143" s="17">
        <v>0</v>
      </c>
    </row>
    <row r="144" spans="1:9" x14ac:dyDescent="0.3">
      <c r="B144" s="13" t="s">
        <v>204</v>
      </c>
      <c r="C144" s="13" t="s">
        <v>79</v>
      </c>
      <c r="D144" s="13" t="s">
        <v>197</v>
      </c>
      <c r="E144" s="13" t="s">
        <v>198</v>
      </c>
      <c r="F144" s="13" t="s">
        <v>211</v>
      </c>
      <c r="G144" s="13" t="s">
        <v>83</v>
      </c>
      <c r="H144" s="17">
        <v>0</v>
      </c>
      <c r="I144" s="17">
        <v>0</v>
      </c>
    </row>
    <row r="145" spans="1:9" x14ac:dyDescent="0.3">
      <c r="B145" s="13" t="s">
        <v>205</v>
      </c>
      <c r="C145" s="13" t="s">
        <v>79</v>
      </c>
      <c r="D145" s="13" t="s">
        <v>197</v>
      </c>
      <c r="E145" s="13" t="s">
        <v>198</v>
      </c>
      <c r="F145" s="13" t="s">
        <v>211</v>
      </c>
      <c r="G145" s="13" t="s">
        <v>83</v>
      </c>
      <c r="H145" s="17">
        <v>0</v>
      </c>
      <c r="I145" s="17">
        <v>0</v>
      </c>
    </row>
    <row r="146" spans="1:9" x14ac:dyDescent="0.3">
      <c r="B146" s="13" t="s">
        <v>206</v>
      </c>
      <c r="C146" s="13" t="s">
        <v>79</v>
      </c>
      <c r="D146" s="13" t="s">
        <v>197</v>
      </c>
      <c r="E146" s="13" t="s">
        <v>198</v>
      </c>
      <c r="F146" s="13" t="s">
        <v>211</v>
      </c>
      <c r="G146" s="13" t="s">
        <v>83</v>
      </c>
      <c r="H146" s="15">
        <v>5.38</v>
      </c>
      <c r="I146" s="15">
        <v>5.38</v>
      </c>
    </row>
    <row r="147" spans="1:9" x14ac:dyDescent="0.3">
      <c r="B147" s="13" t="s">
        <v>207</v>
      </c>
      <c r="C147" s="13" t="s">
        <v>79</v>
      </c>
      <c r="D147" s="13" t="s">
        <v>197</v>
      </c>
      <c r="E147" s="13" t="s">
        <v>198</v>
      </c>
      <c r="F147" s="13" t="s">
        <v>211</v>
      </c>
      <c r="G147" s="13" t="s">
        <v>83</v>
      </c>
      <c r="H147" s="15">
        <v>13.22</v>
      </c>
      <c r="I147" s="15">
        <v>18.600000000000001</v>
      </c>
    </row>
    <row r="148" spans="1:9" x14ac:dyDescent="0.3">
      <c r="B148" s="13" t="s">
        <v>207</v>
      </c>
      <c r="C148" s="13" t="s">
        <v>79</v>
      </c>
      <c r="D148" s="13" t="s">
        <v>197</v>
      </c>
      <c r="E148" s="13" t="s">
        <v>208</v>
      </c>
      <c r="F148" s="13" t="s">
        <v>211</v>
      </c>
      <c r="G148" s="13" t="s">
        <v>83</v>
      </c>
      <c r="H148" s="15">
        <v>0.19</v>
      </c>
      <c r="I148" s="15">
        <v>18.790000000000003</v>
      </c>
    </row>
    <row r="149" spans="1:9" x14ac:dyDescent="0.3">
      <c r="A149" s="9" t="s">
        <v>212</v>
      </c>
      <c r="H149" s="16">
        <f>H140+H141+H142+H143+H144+H145+H146+H147+H148</f>
        <v>18.790000000000003</v>
      </c>
    </row>
    <row r="150" spans="1:9" x14ac:dyDescent="0.3">
      <c r="A150" s="6" t="s">
        <v>213</v>
      </c>
    </row>
    <row r="151" spans="1:9" x14ac:dyDescent="0.3">
      <c r="B151" s="13" t="s">
        <v>196</v>
      </c>
      <c r="C151" s="13" t="s">
        <v>79</v>
      </c>
      <c r="D151" s="13" t="s">
        <v>197</v>
      </c>
      <c r="E151" s="13" t="s">
        <v>198</v>
      </c>
      <c r="F151" s="13" t="s">
        <v>214</v>
      </c>
      <c r="G151" s="13" t="s">
        <v>83</v>
      </c>
      <c r="H151" s="17">
        <v>0</v>
      </c>
      <c r="I151" s="17">
        <v>0</v>
      </c>
    </row>
    <row r="152" spans="1:9" x14ac:dyDescent="0.3">
      <c r="B152" s="13" t="s">
        <v>201</v>
      </c>
      <c r="C152" s="13" t="s">
        <v>79</v>
      </c>
      <c r="D152" s="13" t="s">
        <v>197</v>
      </c>
      <c r="E152" s="13" t="s">
        <v>198</v>
      </c>
      <c r="F152" s="13" t="s">
        <v>214</v>
      </c>
      <c r="G152" s="13" t="s">
        <v>83</v>
      </c>
      <c r="H152" s="17">
        <v>0</v>
      </c>
      <c r="I152" s="17">
        <v>0</v>
      </c>
    </row>
    <row r="153" spans="1:9" x14ac:dyDescent="0.3">
      <c r="B153" s="13" t="s">
        <v>202</v>
      </c>
      <c r="C153" s="13" t="s">
        <v>79</v>
      </c>
      <c r="D153" s="13" t="s">
        <v>197</v>
      </c>
      <c r="E153" s="13" t="s">
        <v>198</v>
      </c>
      <c r="F153" s="13" t="s">
        <v>214</v>
      </c>
      <c r="G153" s="13" t="s">
        <v>83</v>
      </c>
      <c r="H153" s="17">
        <v>0</v>
      </c>
      <c r="I153" s="17">
        <v>0</v>
      </c>
    </row>
    <row r="154" spans="1:9" x14ac:dyDescent="0.3">
      <c r="B154" s="13" t="s">
        <v>203</v>
      </c>
      <c r="C154" s="13" t="s">
        <v>79</v>
      </c>
      <c r="D154" s="13" t="s">
        <v>197</v>
      </c>
      <c r="E154" s="13" t="s">
        <v>198</v>
      </c>
      <c r="F154" s="13" t="s">
        <v>214</v>
      </c>
      <c r="G154" s="13" t="s">
        <v>83</v>
      </c>
      <c r="H154" s="17">
        <v>0</v>
      </c>
      <c r="I154" s="17">
        <v>0</v>
      </c>
    </row>
    <row r="155" spans="1:9" x14ac:dyDescent="0.3">
      <c r="B155" s="13" t="s">
        <v>204</v>
      </c>
      <c r="C155" s="13" t="s">
        <v>79</v>
      </c>
      <c r="D155" s="13" t="s">
        <v>197</v>
      </c>
      <c r="E155" s="13" t="s">
        <v>198</v>
      </c>
      <c r="F155" s="13" t="s">
        <v>214</v>
      </c>
      <c r="G155" s="13" t="s">
        <v>83</v>
      </c>
      <c r="H155" s="17">
        <v>0</v>
      </c>
      <c r="I155" s="17">
        <v>0</v>
      </c>
    </row>
    <row r="156" spans="1:9" x14ac:dyDescent="0.3">
      <c r="B156" s="13" t="s">
        <v>205</v>
      </c>
      <c r="C156" s="13" t="s">
        <v>79</v>
      </c>
      <c r="D156" s="13" t="s">
        <v>197</v>
      </c>
      <c r="E156" s="13" t="s">
        <v>198</v>
      </c>
      <c r="F156" s="13" t="s">
        <v>214</v>
      </c>
      <c r="G156" s="13" t="s">
        <v>83</v>
      </c>
      <c r="H156" s="17">
        <v>0</v>
      </c>
      <c r="I156" s="17">
        <v>0</v>
      </c>
    </row>
    <row r="157" spans="1:9" x14ac:dyDescent="0.3">
      <c r="B157" s="13" t="s">
        <v>206</v>
      </c>
      <c r="C157" s="13" t="s">
        <v>79</v>
      </c>
      <c r="D157" s="13" t="s">
        <v>197</v>
      </c>
      <c r="E157" s="13" t="s">
        <v>198</v>
      </c>
      <c r="F157" s="13" t="s">
        <v>214</v>
      </c>
      <c r="G157" s="13" t="s">
        <v>83</v>
      </c>
      <c r="H157" s="15">
        <v>6.46</v>
      </c>
      <c r="I157" s="15">
        <v>6.46</v>
      </c>
    </row>
    <row r="158" spans="1:9" x14ac:dyDescent="0.3">
      <c r="B158" s="13" t="s">
        <v>207</v>
      </c>
      <c r="C158" s="13" t="s">
        <v>79</v>
      </c>
      <c r="D158" s="13" t="s">
        <v>197</v>
      </c>
      <c r="E158" s="13" t="s">
        <v>198</v>
      </c>
      <c r="F158" s="13" t="s">
        <v>214</v>
      </c>
      <c r="G158" s="13" t="s">
        <v>83</v>
      </c>
      <c r="H158" s="15">
        <v>15.85</v>
      </c>
      <c r="I158" s="15">
        <v>22.31</v>
      </c>
    </row>
    <row r="159" spans="1:9" x14ac:dyDescent="0.3">
      <c r="B159" s="13" t="s">
        <v>207</v>
      </c>
      <c r="C159" s="13" t="s">
        <v>79</v>
      </c>
      <c r="D159" s="13" t="s">
        <v>197</v>
      </c>
      <c r="E159" s="13" t="s">
        <v>208</v>
      </c>
      <c r="F159" s="13" t="s">
        <v>214</v>
      </c>
      <c r="G159" s="13" t="s">
        <v>83</v>
      </c>
      <c r="H159" s="15">
        <v>0.23</v>
      </c>
      <c r="I159" s="15">
        <v>22.54</v>
      </c>
    </row>
    <row r="160" spans="1:9" x14ac:dyDescent="0.3">
      <c r="A160" s="9" t="s">
        <v>215</v>
      </c>
      <c r="H160" s="16">
        <f>H151+H152+H153+H154+H155+H156+H157+H158+H159</f>
        <v>22.54</v>
      </c>
    </row>
    <row r="161" spans="1:9" x14ac:dyDescent="0.3">
      <c r="A161" s="6" t="s">
        <v>216</v>
      </c>
    </row>
    <row r="162" spans="1:9" x14ac:dyDescent="0.3">
      <c r="B162" s="13" t="s">
        <v>196</v>
      </c>
      <c r="C162" s="13" t="s">
        <v>79</v>
      </c>
      <c r="D162" s="13" t="s">
        <v>197</v>
      </c>
      <c r="E162" s="13" t="s">
        <v>198</v>
      </c>
      <c r="F162" s="13" t="s">
        <v>217</v>
      </c>
      <c r="G162" s="13" t="s">
        <v>83</v>
      </c>
      <c r="H162" s="17">
        <v>0</v>
      </c>
      <c r="I162" s="17">
        <v>0</v>
      </c>
    </row>
    <row r="163" spans="1:9" x14ac:dyDescent="0.3">
      <c r="B163" s="13" t="s">
        <v>201</v>
      </c>
      <c r="C163" s="13" t="s">
        <v>79</v>
      </c>
      <c r="D163" s="13" t="s">
        <v>197</v>
      </c>
      <c r="E163" s="13" t="s">
        <v>198</v>
      </c>
      <c r="F163" s="13" t="s">
        <v>217</v>
      </c>
      <c r="G163" s="13" t="s">
        <v>83</v>
      </c>
      <c r="H163" s="17">
        <v>0</v>
      </c>
      <c r="I163" s="17">
        <v>0</v>
      </c>
    </row>
    <row r="164" spans="1:9" x14ac:dyDescent="0.3">
      <c r="B164" s="13" t="s">
        <v>202</v>
      </c>
      <c r="C164" s="13" t="s">
        <v>79</v>
      </c>
      <c r="D164" s="13" t="s">
        <v>197</v>
      </c>
      <c r="E164" s="13" t="s">
        <v>198</v>
      </c>
      <c r="F164" s="13" t="s">
        <v>217</v>
      </c>
      <c r="G164" s="13" t="s">
        <v>83</v>
      </c>
      <c r="H164" s="17">
        <v>0</v>
      </c>
      <c r="I164" s="17">
        <v>0</v>
      </c>
    </row>
    <row r="165" spans="1:9" x14ac:dyDescent="0.3">
      <c r="B165" s="13" t="s">
        <v>203</v>
      </c>
      <c r="C165" s="13" t="s">
        <v>79</v>
      </c>
      <c r="D165" s="13" t="s">
        <v>197</v>
      </c>
      <c r="E165" s="13" t="s">
        <v>198</v>
      </c>
      <c r="F165" s="13" t="s">
        <v>217</v>
      </c>
      <c r="G165" s="13" t="s">
        <v>83</v>
      </c>
      <c r="H165" s="17">
        <v>0</v>
      </c>
      <c r="I165" s="17">
        <v>0</v>
      </c>
    </row>
    <row r="166" spans="1:9" x14ac:dyDescent="0.3">
      <c r="B166" s="13" t="s">
        <v>204</v>
      </c>
      <c r="C166" s="13" t="s">
        <v>79</v>
      </c>
      <c r="D166" s="13" t="s">
        <v>197</v>
      </c>
      <c r="E166" s="13" t="s">
        <v>198</v>
      </c>
      <c r="F166" s="13" t="s">
        <v>217</v>
      </c>
      <c r="G166" s="13" t="s">
        <v>83</v>
      </c>
      <c r="H166" s="17">
        <v>0</v>
      </c>
      <c r="I166" s="17">
        <v>0</v>
      </c>
    </row>
    <row r="167" spans="1:9" x14ac:dyDescent="0.3">
      <c r="B167" s="13" t="s">
        <v>205</v>
      </c>
      <c r="C167" s="13" t="s">
        <v>79</v>
      </c>
      <c r="D167" s="13" t="s">
        <v>197</v>
      </c>
      <c r="E167" s="13" t="s">
        <v>198</v>
      </c>
      <c r="F167" s="13" t="s">
        <v>217</v>
      </c>
      <c r="G167" s="13" t="s">
        <v>83</v>
      </c>
      <c r="H167" s="17">
        <v>0</v>
      </c>
      <c r="I167" s="17">
        <v>0</v>
      </c>
    </row>
    <row r="168" spans="1:9" x14ac:dyDescent="0.3">
      <c r="B168" s="13" t="s">
        <v>206</v>
      </c>
      <c r="C168" s="13" t="s">
        <v>79</v>
      </c>
      <c r="D168" s="13" t="s">
        <v>197</v>
      </c>
      <c r="E168" s="13" t="s">
        <v>198</v>
      </c>
      <c r="F168" s="13" t="s">
        <v>217</v>
      </c>
      <c r="G168" s="13" t="s">
        <v>83</v>
      </c>
      <c r="H168" s="17">
        <v>0</v>
      </c>
      <c r="I168" s="17">
        <v>0</v>
      </c>
    </row>
    <row r="169" spans="1:9" x14ac:dyDescent="0.3">
      <c r="B169" s="13" t="s">
        <v>207</v>
      </c>
      <c r="C169" s="13" t="s">
        <v>79</v>
      </c>
      <c r="D169" s="13" t="s">
        <v>197</v>
      </c>
      <c r="E169" s="13" t="s">
        <v>198</v>
      </c>
      <c r="F169" s="13" t="s">
        <v>217</v>
      </c>
      <c r="G169" s="13" t="s">
        <v>83</v>
      </c>
      <c r="H169" s="17">
        <v>0</v>
      </c>
      <c r="I169" s="17">
        <v>0</v>
      </c>
    </row>
    <row r="170" spans="1:9" x14ac:dyDescent="0.3">
      <c r="B170" s="13" t="s">
        <v>207</v>
      </c>
      <c r="C170" s="13" t="s">
        <v>79</v>
      </c>
      <c r="D170" s="13" t="s">
        <v>197</v>
      </c>
      <c r="E170" s="13" t="s">
        <v>208</v>
      </c>
      <c r="F170" s="13" t="s">
        <v>217</v>
      </c>
      <c r="G170" s="13" t="s">
        <v>83</v>
      </c>
      <c r="H170" s="17">
        <v>0</v>
      </c>
      <c r="I170" s="17">
        <v>0</v>
      </c>
    </row>
    <row r="171" spans="1:9" x14ac:dyDescent="0.3">
      <c r="A171" s="9" t="s">
        <v>218</v>
      </c>
      <c r="H171" s="16">
        <f>H162+H163+H164+H165+H166+H167+H168+H169+H170</f>
        <v>0</v>
      </c>
    </row>
    <row r="172" spans="1:9" x14ac:dyDescent="0.3">
      <c r="A172" s="6" t="s">
        <v>219</v>
      </c>
    </row>
    <row r="173" spans="1:9" x14ac:dyDescent="0.3">
      <c r="B173" s="13" t="s">
        <v>196</v>
      </c>
      <c r="C173" s="13" t="s">
        <v>79</v>
      </c>
      <c r="D173" s="13" t="s">
        <v>197</v>
      </c>
      <c r="E173" s="13" t="s">
        <v>198</v>
      </c>
      <c r="F173" s="13" t="s">
        <v>220</v>
      </c>
      <c r="G173" s="13" t="s">
        <v>83</v>
      </c>
      <c r="H173" s="15">
        <v>372</v>
      </c>
      <c r="I173" s="15">
        <v>372</v>
      </c>
    </row>
    <row r="174" spans="1:9" x14ac:dyDescent="0.3">
      <c r="B174" s="13" t="s">
        <v>201</v>
      </c>
      <c r="C174" s="13" t="s">
        <v>79</v>
      </c>
      <c r="D174" s="13" t="s">
        <v>197</v>
      </c>
      <c r="E174" s="13" t="s">
        <v>198</v>
      </c>
      <c r="F174" s="13" t="s">
        <v>220</v>
      </c>
      <c r="G174" s="13" t="s">
        <v>83</v>
      </c>
      <c r="H174" s="15">
        <v>728.5</v>
      </c>
      <c r="I174" s="15">
        <v>1100.5</v>
      </c>
    </row>
    <row r="175" spans="1:9" x14ac:dyDescent="0.3">
      <c r="B175" s="13" t="s">
        <v>202</v>
      </c>
      <c r="C175" s="13" t="s">
        <v>79</v>
      </c>
      <c r="D175" s="13" t="s">
        <v>197</v>
      </c>
      <c r="E175" s="13" t="s">
        <v>198</v>
      </c>
      <c r="F175" s="13" t="s">
        <v>220</v>
      </c>
      <c r="G175" s="13" t="s">
        <v>83</v>
      </c>
      <c r="H175" s="15">
        <v>2232</v>
      </c>
      <c r="I175" s="15">
        <v>3332.5</v>
      </c>
    </row>
    <row r="176" spans="1:9" x14ac:dyDescent="0.3">
      <c r="B176" s="13" t="s">
        <v>202</v>
      </c>
      <c r="C176" s="13" t="s">
        <v>79</v>
      </c>
      <c r="D176" s="13" t="s">
        <v>197</v>
      </c>
      <c r="E176" s="13" t="s">
        <v>198</v>
      </c>
      <c r="F176" s="13" t="s">
        <v>221</v>
      </c>
      <c r="G176" s="13" t="s">
        <v>83</v>
      </c>
      <c r="H176" s="15">
        <v>46.5</v>
      </c>
      <c r="I176" s="15">
        <v>3379</v>
      </c>
    </row>
    <row r="177" spans="1:9" x14ac:dyDescent="0.3">
      <c r="B177" s="13" t="s">
        <v>203</v>
      </c>
      <c r="C177" s="13" t="s">
        <v>79</v>
      </c>
      <c r="D177" s="13" t="s">
        <v>197</v>
      </c>
      <c r="E177" s="13" t="s">
        <v>198</v>
      </c>
      <c r="F177" s="13" t="s">
        <v>220</v>
      </c>
      <c r="G177" s="13" t="s">
        <v>83</v>
      </c>
      <c r="H177" s="15">
        <v>2201</v>
      </c>
      <c r="I177" s="15">
        <v>5580</v>
      </c>
    </row>
    <row r="178" spans="1:9" x14ac:dyDescent="0.3">
      <c r="B178" s="13" t="s">
        <v>204</v>
      </c>
      <c r="C178" s="13" t="s">
        <v>79</v>
      </c>
      <c r="D178" s="13" t="s">
        <v>197</v>
      </c>
      <c r="E178" s="13" t="s">
        <v>198</v>
      </c>
      <c r="F178" s="13" t="s">
        <v>220</v>
      </c>
      <c r="G178" s="13" t="s">
        <v>83</v>
      </c>
      <c r="H178" s="15">
        <v>1131.5</v>
      </c>
      <c r="I178" s="15">
        <v>6711.5</v>
      </c>
    </row>
    <row r="179" spans="1:9" x14ac:dyDescent="0.3">
      <c r="B179" s="13" t="s">
        <v>205</v>
      </c>
      <c r="C179" s="13" t="s">
        <v>79</v>
      </c>
      <c r="D179" s="13" t="s">
        <v>197</v>
      </c>
      <c r="E179" s="13" t="s">
        <v>198</v>
      </c>
      <c r="F179" s="13" t="s">
        <v>220</v>
      </c>
      <c r="G179" s="13" t="s">
        <v>83</v>
      </c>
      <c r="H179" s="15">
        <v>1348.5</v>
      </c>
      <c r="I179" s="15">
        <v>8060</v>
      </c>
    </row>
    <row r="180" spans="1:9" x14ac:dyDescent="0.3">
      <c r="B180" s="13" t="s">
        <v>206</v>
      </c>
      <c r="C180" s="13" t="s">
        <v>79</v>
      </c>
      <c r="D180" s="13" t="s">
        <v>197</v>
      </c>
      <c r="E180" s="13" t="s">
        <v>198</v>
      </c>
      <c r="F180" s="13" t="s">
        <v>220</v>
      </c>
      <c r="G180" s="13" t="s">
        <v>83</v>
      </c>
      <c r="H180" s="15">
        <v>961</v>
      </c>
      <c r="I180" s="15">
        <v>9021</v>
      </c>
    </row>
    <row r="181" spans="1:9" x14ac:dyDescent="0.3">
      <c r="B181" s="13" t="s">
        <v>207</v>
      </c>
      <c r="C181" s="13" t="s">
        <v>79</v>
      </c>
      <c r="D181" s="13" t="s">
        <v>197</v>
      </c>
      <c r="E181" s="13" t="s">
        <v>198</v>
      </c>
      <c r="F181" s="13" t="s">
        <v>220</v>
      </c>
      <c r="G181" s="13" t="s">
        <v>83</v>
      </c>
      <c r="H181" s="15">
        <v>2232</v>
      </c>
      <c r="I181" s="15">
        <v>11253</v>
      </c>
    </row>
    <row r="182" spans="1:9" x14ac:dyDescent="0.3">
      <c r="B182" s="13" t="s">
        <v>207</v>
      </c>
      <c r="C182" s="13" t="s">
        <v>79</v>
      </c>
      <c r="D182" s="13" t="s">
        <v>197</v>
      </c>
      <c r="E182" s="13" t="s">
        <v>198</v>
      </c>
      <c r="F182" s="13" t="s">
        <v>221</v>
      </c>
      <c r="G182" s="13" t="s">
        <v>83</v>
      </c>
      <c r="H182" s="15">
        <v>46.5</v>
      </c>
      <c r="I182" s="15">
        <v>11299.5</v>
      </c>
    </row>
    <row r="183" spans="1:9" x14ac:dyDescent="0.3">
      <c r="B183" s="13" t="s">
        <v>207</v>
      </c>
      <c r="C183" s="13" t="s">
        <v>79</v>
      </c>
      <c r="D183" s="13" t="s">
        <v>197</v>
      </c>
      <c r="E183" s="13" t="s">
        <v>198</v>
      </c>
      <c r="F183" s="13" t="s">
        <v>221</v>
      </c>
      <c r="G183" s="13" t="s">
        <v>83</v>
      </c>
      <c r="H183" s="15">
        <v>46.5</v>
      </c>
      <c r="I183" s="15">
        <v>11346</v>
      </c>
    </row>
    <row r="184" spans="1:9" x14ac:dyDescent="0.3">
      <c r="B184" s="13" t="s">
        <v>207</v>
      </c>
      <c r="C184" s="13" t="s">
        <v>79</v>
      </c>
      <c r="D184" s="13" t="s">
        <v>197</v>
      </c>
      <c r="E184" s="13" t="s">
        <v>208</v>
      </c>
      <c r="F184" s="13" t="s">
        <v>222</v>
      </c>
      <c r="G184" s="13" t="s">
        <v>83</v>
      </c>
      <c r="H184" s="15">
        <v>34.5</v>
      </c>
      <c r="I184" s="15">
        <v>11380.5</v>
      </c>
    </row>
    <row r="185" spans="1:9" x14ac:dyDescent="0.3">
      <c r="A185" s="9" t="s">
        <v>223</v>
      </c>
      <c r="H185" s="16">
        <f>H173+H174+H175+H176+H177+H178+H179+H180+H181+H182+H183+H184</f>
        <v>11380.5</v>
      </c>
    </row>
    <row r="186" spans="1:9" x14ac:dyDescent="0.3">
      <c r="A186" s="7" t="s">
        <v>224</v>
      </c>
      <c r="H186" s="16">
        <f>H138+H149+H160+H171+H185</f>
        <v>12243.07</v>
      </c>
    </row>
    <row r="187" spans="1:9" x14ac:dyDescent="0.3">
      <c r="A187" s="6" t="s">
        <v>225</v>
      </c>
    </row>
    <row r="188" spans="1:9" x14ac:dyDescent="0.3">
      <c r="B188" s="13" t="s">
        <v>126</v>
      </c>
      <c r="C188" s="13" t="s">
        <v>79</v>
      </c>
      <c r="D188" s="13" t="s">
        <v>226</v>
      </c>
      <c r="E188" s="13" t="s">
        <v>227</v>
      </c>
      <c r="F188" s="13" t="s">
        <v>228</v>
      </c>
      <c r="G188" s="13" t="s">
        <v>83</v>
      </c>
      <c r="H188" s="15">
        <v>300</v>
      </c>
      <c r="I188" s="15">
        <v>300</v>
      </c>
    </row>
    <row r="189" spans="1:9" x14ac:dyDescent="0.3">
      <c r="B189" s="13" t="s">
        <v>126</v>
      </c>
      <c r="C189" s="13" t="s">
        <v>79</v>
      </c>
      <c r="D189" s="13" t="s">
        <v>229</v>
      </c>
      <c r="E189" s="13" t="s">
        <v>198</v>
      </c>
      <c r="F189" s="13" t="s">
        <v>230</v>
      </c>
      <c r="G189" s="13" t="s">
        <v>83</v>
      </c>
      <c r="H189" s="15">
        <v>1457</v>
      </c>
      <c r="I189" s="15">
        <v>1757</v>
      </c>
    </row>
    <row r="190" spans="1:9" x14ac:dyDescent="0.3">
      <c r="B190" s="13" t="s">
        <v>140</v>
      </c>
      <c r="C190" s="13" t="s">
        <v>79</v>
      </c>
      <c r="D190" s="13" t="s">
        <v>231</v>
      </c>
      <c r="E190" s="13" t="s">
        <v>198</v>
      </c>
      <c r="F190" s="13" t="s">
        <v>232</v>
      </c>
      <c r="G190" s="13" t="s">
        <v>83</v>
      </c>
      <c r="H190" s="15">
        <v>496</v>
      </c>
      <c r="I190" s="15">
        <v>2253</v>
      </c>
    </row>
    <row r="191" spans="1:9" x14ac:dyDescent="0.3">
      <c r="B191" s="13" t="s">
        <v>145</v>
      </c>
      <c r="C191" s="13" t="s">
        <v>79</v>
      </c>
      <c r="D191" s="13" t="s">
        <v>233</v>
      </c>
      <c r="E191" s="13" t="s">
        <v>198</v>
      </c>
      <c r="F191" s="13" t="s">
        <v>234</v>
      </c>
      <c r="G191" s="13" t="s">
        <v>83</v>
      </c>
      <c r="H191" s="15">
        <v>759.5</v>
      </c>
      <c r="I191" s="15">
        <v>3012.5</v>
      </c>
    </row>
    <row r="192" spans="1:9" x14ac:dyDescent="0.3">
      <c r="B192" s="13" t="s">
        <v>145</v>
      </c>
      <c r="C192" s="13" t="s">
        <v>79</v>
      </c>
      <c r="D192" s="13" t="s">
        <v>233</v>
      </c>
      <c r="E192" s="13" t="s">
        <v>198</v>
      </c>
      <c r="F192" s="13" t="s">
        <v>234</v>
      </c>
      <c r="G192" s="13" t="s">
        <v>83</v>
      </c>
      <c r="H192" s="15">
        <v>209.25</v>
      </c>
      <c r="I192" s="15">
        <v>3221.75</v>
      </c>
    </row>
    <row r="193" spans="1:9" x14ac:dyDescent="0.3">
      <c r="B193" s="13" t="s">
        <v>235</v>
      </c>
      <c r="C193" s="13" t="s">
        <v>79</v>
      </c>
      <c r="D193" s="13" t="s">
        <v>10</v>
      </c>
      <c r="E193" s="13" t="s">
        <v>198</v>
      </c>
      <c r="F193" s="13" t="s">
        <v>234</v>
      </c>
      <c r="G193" s="13" t="s">
        <v>83</v>
      </c>
      <c r="H193" s="15">
        <v>744</v>
      </c>
      <c r="I193" s="15">
        <v>3965.75</v>
      </c>
    </row>
    <row r="194" spans="1:9" x14ac:dyDescent="0.3">
      <c r="B194" s="13" t="s">
        <v>236</v>
      </c>
      <c r="C194" s="13" t="s">
        <v>79</v>
      </c>
      <c r="D194" s="13" t="s">
        <v>10</v>
      </c>
      <c r="E194" s="13" t="s">
        <v>208</v>
      </c>
      <c r="F194" s="13" t="s">
        <v>237</v>
      </c>
      <c r="G194" s="13" t="s">
        <v>83</v>
      </c>
      <c r="H194" s="15">
        <v>115</v>
      </c>
      <c r="I194" s="15">
        <v>4080.75</v>
      </c>
    </row>
    <row r="195" spans="1:9" x14ac:dyDescent="0.3">
      <c r="B195" s="13" t="s">
        <v>236</v>
      </c>
      <c r="C195" s="13" t="s">
        <v>79</v>
      </c>
      <c r="D195" s="13" t="s">
        <v>10</v>
      </c>
      <c r="E195" s="13" t="s">
        <v>227</v>
      </c>
      <c r="F195" s="13" t="s">
        <v>238</v>
      </c>
      <c r="G195" s="13" t="s">
        <v>83</v>
      </c>
      <c r="H195" s="15">
        <v>150</v>
      </c>
      <c r="I195" s="15">
        <v>4230.75</v>
      </c>
    </row>
    <row r="196" spans="1:9" x14ac:dyDescent="0.3">
      <c r="B196" s="13" t="s">
        <v>239</v>
      </c>
      <c r="C196" s="13" t="s">
        <v>79</v>
      </c>
      <c r="D196" s="13" t="s">
        <v>10</v>
      </c>
      <c r="E196" s="13" t="s">
        <v>227</v>
      </c>
      <c r="F196" s="13" t="s">
        <v>240</v>
      </c>
      <c r="G196" s="13" t="s">
        <v>83</v>
      </c>
      <c r="H196" s="15">
        <v>60</v>
      </c>
      <c r="I196" s="15">
        <v>4290.75</v>
      </c>
    </row>
    <row r="197" spans="1:9" x14ac:dyDescent="0.3">
      <c r="A197" s="7" t="s">
        <v>241</v>
      </c>
      <c r="H197" s="16">
        <f>H188+H189+H190+H191+H192+H193+H194+H195+H196</f>
        <v>4290.75</v>
      </c>
    </row>
    <row r="198" spans="1:9" x14ac:dyDescent="0.3">
      <c r="A198" s="8" t="s">
        <v>242</v>
      </c>
      <c r="H198" s="16">
        <f>H186+H197</f>
        <v>16533.82</v>
      </c>
    </row>
    <row r="199" spans="1:9" x14ac:dyDescent="0.3">
      <c r="A199" s="10" t="s">
        <v>243</v>
      </c>
      <c r="H199" s="16">
        <v>28466.869999999995</v>
      </c>
    </row>
    <row r="200" spans="1:9" x14ac:dyDescent="0.3">
      <c r="A200" s="6" t="s">
        <v>244</v>
      </c>
    </row>
    <row r="201" spans="1:9" x14ac:dyDescent="0.3">
      <c r="B201" s="13" t="s">
        <v>245</v>
      </c>
      <c r="H201" s="13"/>
    </row>
    <row r="202" spans="1:9" x14ac:dyDescent="0.3">
      <c r="B202" s="13" t="s">
        <v>246</v>
      </c>
      <c r="H202" s="13"/>
    </row>
    <row r="203" spans="1:9" x14ac:dyDescent="0.3">
      <c r="A203" s="10" t="s">
        <v>247</v>
      </c>
      <c r="H203" s="16">
        <f>H200+H201+H202</f>
        <v>0</v>
      </c>
    </row>
    <row r="204" spans="1:9" x14ac:dyDescent="0.3">
      <c r="A204" s="10" t="s">
        <v>248</v>
      </c>
      <c r="H204" s="16">
        <v>28466.869999999995</v>
      </c>
    </row>
    <row r="206" spans="1:9" x14ac:dyDescent="0.3">
      <c r="A206" s="1" t="s">
        <v>257</v>
      </c>
      <c r="B206" s="4"/>
      <c r="C206" s="4"/>
      <c r="D206" s="4"/>
      <c r="E206" s="4"/>
      <c r="F206" s="4"/>
      <c r="G206" s="4"/>
      <c r="H206" s="4"/>
      <c r="I206" s="4"/>
    </row>
  </sheetData>
  <mergeCells count="4">
    <mergeCell ref="A1:I1"/>
    <mergeCell ref="A2:I2"/>
    <mergeCell ref="A3:I3"/>
    <mergeCell ref="A206:I20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mike grenz</cp:lastModifiedBy>
  <cp:lastPrinted>2026-06-23T19:01:33Z</cp:lastPrinted>
  <dcterms:created xsi:type="dcterms:W3CDTF">2022-03-24T08:55:57Z</dcterms:created>
  <dcterms:modified xsi:type="dcterms:W3CDTF">2026-06-23T19:01:55Z</dcterms:modified>
  <cp:category/>
</cp:coreProperties>
</file>