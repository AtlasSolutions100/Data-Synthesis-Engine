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fabd7dac2072dd/Documents/"/>
    </mc:Choice>
  </mc:AlternateContent>
  <xr:revisionPtr revIDLastSave="0" documentId="8_{F449C0F0-BBD9-4D78-B61E-02572DED49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7" i="1" l="1"/>
  <c r="H100" i="1"/>
  <c r="H94" i="1"/>
  <c r="H88" i="1"/>
  <c r="H82" i="1"/>
  <c r="H76" i="1"/>
  <c r="H65" i="1"/>
  <c r="H61" i="1"/>
  <c r="H62" i="1" s="1"/>
  <c r="H48" i="1"/>
  <c r="H49" i="1" s="1"/>
  <c r="H40" i="1"/>
  <c r="H41" i="1" s="1"/>
  <c r="H36" i="1"/>
  <c r="H21" i="1"/>
  <c r="H14" i="1"/>
  <c r="H15" i="1" s="1"/>
  <c r="H50" i="1" l="1"/>
  <c r="H101" i="1"/>
  <c r="H51" i="1"/>
  <c r="H102" i="1"/>
</calcChain>
</file>

<file path=xl/sharedStrings.xml><?xml version="1.0" encoding="utf-8"?>
<sst xmlns="http://schemas.openxmlformats.org/spreadsheetml/2006/main" count="400" uniqueCount="146">
  <si>
    <t>Allied Power Services</t>
  </si>
  <si>
    <t>Profit and Loss Detail</t>
  </si>
  <si>
    <t>January 1, 2023-July 9, 2026</t>
  </si>
  <si>
    <t>Ordinary Income/Expenses</t>
  </si>
  <si>
    <t>Income</t>
  </si>
  <si>
    <t>45100 Job Income</t>
  </si>
  <si>
    <t>08/06/2024</t>
  </si>
  <si>
    <t>Invoice</t>
  </si>
  <si>
    <t>8638</t>
  </si>
  <si>
    <t>Douglas County Schools:Larkspur gear</t>
  </si>
  <si>
    <t/>
  </si>
  <si>
    <t>APP 1</t>
  </si>
  <si>
    <t>Accounts Receivable</t>
  </si>
  <si>
    <t>10/30/2024</t>
  </si>
  <si>
    <t>8711</t>
  </si>
  <si>
    <t>APP 2</t>
  </si>
  <si>
    <t>06/19/2025</t>
  </si>
  <si>
    <t>8860</t>
  </si>
  <si>
    <t>Pay app 3 for Larkspur gear</t>
  </si>
  <si>
    <t>retainage</t>
  </si>
  <si>
    <t>06/06/2026</t>
  </si>
  <si>
    <t>Pay app 4</t>
  </si>
  <si>
    <t>Total for 45100 Job Income</t>
  </si>
  <si>
    <t>Total for Income with sub-accounts</t>
  </si>
  <si>
    <t>Cost of Goods Sold</t>
  </si>
  <si>
    <t>50800 Equipment Rental for Jobs</t>
  </si>
  <si>
    <t>09/10/2024</t>
  </si>
  <si>
    <t>Expense</t>
  </si>
  <si>
    <t>lakeland engineering</t>
  </si>
  <si>
    <t>Chase CC</t>
  </si>
  <si>
    <t>10/17/2024</t>
  </si>
  <si>
    <t>06/09/2026</t>
  </si>
  <si>
    <t>Bill</t>
  </si>
  <si>
    <t>263382777</t>
  </si>
  <si>
    <t>United Rental</t>
  </si>
  <si>
    <t>stagebed</t>
  </si>
  <si>
    <t>Accounts Payable</t>
  </si>
  <si>
    <t>Total for 50800 Equipment Rental for Jobs</t>
  </si>
  <si>
    <t>51400 Job Materials Purchased</t>
  </si>
  <si>
    <t>09/26/2024</t>
  </si>
  <si>
    <t>512604708.003</t>
  </si>
  <si>
    <t>Crescent Electric Supply Company</t>
  </si>
  <si>
    <t>512604708.004</t>
  </si>
  <si>
    <t>10/04/2024</t>
  </si>
  <si>
    <t>512604708.006</t>
  </si>
  <si>
    <t>10/10/2024</t>
  </si>
  <si>
    <t>512604708.008</t>
  </si>
  <si>
    <t>10/21/2024</t>
  </si>
  <si>
    <t>512604708.010</t>
  </si>
  <si>
    <t>kpb panel</t>
  </si>
  <si>
    <t>06/09/2025</t>
  </si>
  <si>
    <t>512604708.020</t>
  </si>
  <si>
    <t>05/26/2026</t>
  </si>
  <si>
    <t>376288</t>
  </si>
  <si>
    <t>CES  - Colorado Electric Supply</t>
  </si>
  <si>
    <t>top hat</t>
  </si>
  <si>
    <t>06/16/2026</t>
  </si>
  <si>
    <t>248079</t>
  </si>
  <si>
    <t>06/18/2026</t>
  </si>
  <si>
    <t>377157</t>
  </si>
  <si>
    <t>06/23/2026</t>
  </si>
  <si>
    <t>057185</t>
  </si>
  <si>
    <t>075023</t>
  </si>
  <si>
    <t>377333</t>
  </si>
  <si>
    <t>07/06/2026</t>
  </si>
  <si>
    <t>award and sign</t>
  </si>
  <si>
    <t>lables</t>
  </si>
  <si>
    <t>Total for 51400 Job Materials Purchased</t>
  </si>
  <si>
    <t>52200 Permits and Licences</t>
  </si>
  <si>
    <t>52220 Permits</t>
  </si>
  <si>
    <t>02/25/2026</t>
  </si>
  <si>
    <t>State of Colorado</t>
  </si>
  <si>
    <t>Total for 52220 Permits</t>
  </si>
  <si>
    <t>Total for 52200 Permits and Licences with sub-accounts</t>
  </si>
  <si>
    <t>53600 Subcontractors Expense</t>
  </si>
  <si>
    <t>53650 Temporary Labor</t>
  </si>
  <si>
    <t>06/08/2026</t>
  </si>
  <si>
    <t>7472</t>
  </si>
  <si>
    <t>Worker Bee Solutions LLC</t>
  </si>
  <si>
    <t>josh</t>
  </si>
  <si>
    <t>06/15/2026</t>
  </si>
  <si>
    <t>7479</t>
  </si>
  <si>
    <t>06/22/2026</t>
  </si>
  <si>
    <t>7488</t>
  </si>
  <si>
    <t>06/29/2026</t>
  </si>
  <si>
    <t>7499</t>
  </si>
  <si>
    <t>Total for 53650 Temporary Labor</t>
  </si>
  <si>
    <t>Total for 53600 Subcontractors Expense with sub-accounts</t>
  </si>
  <si>
    <t>Total for Cost of Goods Sold with sub-accounts</t>
  </si>
  <si>
    <t>Gross Profit</t>
  </si>
  <si>
    <t>Expenses</t>
  </si>
  <si>
    <t>60100 Auto and Truck Expenses</t>
  </si>
  <si>
    <t>60110 Gas</t>
  </si>
  <si>
    <t>06/07/2026</t>
  </si>
  <si>
    <t>murphy gas</t>
  </si>
  <si>
    <t>fuel</t>
  </si>
  <si>
    <t>Total for 60110 Gas</t>
  </si>
  <si>
    <t>Total for 60100 Auto and Truck Expenses with sub-accounts</t>
  </si>
  <si>
    <t>60600 Bonding</t>
  </si>
  <si>
    <t>07/25/2024</t>
  </si>
  <si>
    <t>783135</t>
  </si>
  <si>
    <t>Holms Murphy</t>
  </si>
  <si>
    <t>Total for 60600 Bonding</t>
  </si>
  <si>
    <t>66000 Payroll Expenses</t>
  </si>
  <si>
    <t>66010 FICA</t>
  </si>
  <si>
    <t>08/09/2024</t>
  </si>
  <si>
    <t>Check</t>
  </si>
  <si>
    <t>Mosiac</t>
  </si>
  <si>
    <t>Jeffrey Harris</t>
  </si>
  <si>
    <t>Social Security Company: Labor</t>
  </si>
  <si>
    <t>Checking</t>
  </si>
  <si>
    <t>Medicare Company: Labor</t>
  </si>
  <si>
    <t>06/27/2025</t>
  </si>
  <si>
    <t>Cody Grenz</t>
  </si>
  <si>
    <t>11/28/2025</t>
  </si>
  <si>
    <t>Total for 66010 FICA</t>
  </si>
  <si>
    <t>66020 FUTA</t>
  </si>
  <si>
    <t>Federal Unemployment: Labor</t>
  </si>
  <si>
    <t>Total for 66020 FUTA</t>
  </si>
  <si>
    <t>66030 SUI</t>
  </si>
  <si>
    <t>CO - Unemployment: Labor</t>
  </si>
  <si>
    <t>Total for 66030 SUI</t>
  </si>
  <si>
    <t>66037 State Surcharges</t>
  </si>
  <si>
    <t>CO - Tax Surcharge: Labor</t>
  </si>
  <si>
    <t>Total for 66037 State Surcharges</t>
  </si>
  <si>
    <t>66040 Gross Wages</t>
  </si>
  <si>
    <t>Straight Time: Labor 1 @ $34</t>
  </si>
  <si>
    <t>Straight Time: Labor 1 @ $21</t>
  </si>
  <si>
    <t>Total for 66040 Gross Wages</t>
  </si>
  <si>
    <t>Total for 66000 Payroll Expenses with sub-accounts</t>
  </si>
  <si>
    <t>Total for Expenses with sub-accounts</t>
  </si>
  <si>
    <t>Net Ordinary Income</t>
  </si>
  <si>
    <t>Other Income/Expense</t>
  </si>
  <si>
    <t>Other Income</t>
  </si>
  <si>
    <t>Other Expense</t>
  </si>
  <si>
    <t>Net Other Income</t>
  </si>
  <si>
    <t>Net Income</t>
  </si>
  <si>
    <t>Transaction date</t>
  </si>
  <si>
    <t>Transaction type</t>
  </si>
  <si>
    <t>Num</t>
  </si>
  <si>
    <t>Name</t>
  </si>
  <si>
    <t>Description</t>
  </si>
  <si>
    <t>Item split account</t>
  </si>
  <si>
    <t>Amount</t>
  </si>
  <si>
    <t>Balance</t>
  </si>
  <si>
    <t>Accrual Basis Thursday, July 09, 2026 03:05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</si>
</sst>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8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I112"/>
  <sheetViews>
    <sheetView tabSelected="1" workbookViewId="0">
      <selection activeCell="E8" sqref="E8"/>
    </sheetView>
  </sheetViews>
  <sheetFormatPr defaultColWidth="11.296875" defaultRowHeight="15.6" x14ac:dyDescent="0.3"/>
  <cols>
    <col min="1" max="1" width="49.59765625" style="11" customWidth="1"/>
    <col min="2" max="2" width="18.5" style="11" customWidth="1"/>
    <col min="3" max="3" width="14.3984375" style="11" customWidth="1"/>
    <col min="4" max="4" width="11.69921875" style="11" customWidth="1"/>
    <col min="5" max="5" width="31.59765625" style="11" customWidth="1"/>
    <col min="6" max="6" width="21.19921875" style="11" customWidth="1"/>
    <col min="7" max="7" width="17" style="11" customWidth="1"/>
    <col min="8" max="9" width="16.09765625" style="11" customWidth="1"/>
  </cols>
  <sheetData>
    <row r="1" spans="1:9" x14ac:dyDescent="0.3">
      <c r="A1" s="5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">
      <c r="A3" s="2" t="s">
        <v>2</v>
      </c>
      <c r="B3" s="4"/>
      <c r="C3" s="4"/>
      <c r="D3" s="4"/>
      <c r="E3" s="4"/>
      <c r="F3" s="4"/>
      <c r="G3" s="4"/>
      <c r="H3" s="4"/>
      <c r="I3" s="4"/>
    </row>
    <row r="5" spans="1:9" x14ac:dyDescent="0.3">
      <c r="A5" s="12" t="s">
        <v>10</v>
      </c>
      <c r="B5" s="14" t="s">
        <v>137</v>
      </c>
      <c r="C5" s="14" t="s">
        <v>138</v>
      </c>
      <c r="D5" s="14" t="s">
        <v>139</v>
      </c>
      <c r="E5" s="14" t="s">
        <v>140</v>
      </c>
      <c r="F5" s="14" t="s">
        <v>141</v>
      </c>
      <c r="G5" s="14" t="s">
        <v>142</v>
      </c>
      <c r="H5" s="14" t="s">
        <v>143</v>
      </c>
      <c r="I5" s="14" t="s">
        <v>144</v>
      </c>
    </row>
    <row r="6" spans="1:9" x14ac:dyDescent="0.3">
      <c r="A6" s="6" t="s">
        <v>3</v>
      </c>
    </row>
    <row r="7" spans="1:9" x14ac:dyDescent="0.3">
      <c r="A7" s="6" t="s">
        <v>4</v>
      </c>
    </row>
    <row r="8" spans="1:9" x14ac:dyDescent="0.3">
      <c r="A8" s="6" t="s">
        <v>5</v>
      </c>
    </row>
    <row r="9" spans="1:9" x14ac:dyDescent="0.3">
      <c r="B9" s="13" t="s">
        <v>6</v>
      </c>
      <c r="C9" s="13" t="s">
        <v>7</v>
      </c>
      <c r="D9" s="13" t="s">
        <v>8</v>
      </c>
      <c r="E9" s="13" t="s">
        <v>9</v>
      </c>
      <c r="F9" s="13" t="s">
        <v>11</v>
      </c>
      <c r="G9" s="13" t="s">
        <v>12</v>
      </c>
      <c r="H9" s="15">
        <v>15200</v>
      </c>
      <c r="I9" s="15">
        <v>15200</v>
      </c>
    </row>
    <row r="10" spans="1:9" x14ac:dyDescent="0.3">
      <c r="B10" s="13" t="s">
        <v>13</v>
      </c>
      <c r="C10" s="13" t="s">
        <v>7</v>
      </c>
      <c r="D10" s="13" t="s">
        <v>14</v>
      </c>
      <c r="E10" s="13" t="s">
        <v>9</v>
      </c>
      <c r="F10" s="13" t="s">
        <v>15</v>
      </c>
      <c r="G10" s="13" t="s">
        <v>12</v>
      </c>
      <c r="H10" s="15">
        <v>6531.25</v>
      </c>
      <c r="I10" s="15">
        <v>21731.25</v>
      </c>
    </row>
    <row r="11" spans="1:9" x14ac:dyDescent="0.3">
      <c r="B11" s="13" t="s">
        <v>16</v>
      </c>
      <c r="C11" s="13" t="s">
        <v>7</v>
      </c>
      <c r="D11" s="13" t="s">
        <v>17</v>
      </c>
      <c r="E11" s="13" t="s">
        <v>9</v>
      </c>
      <c r="F11" s="13" t="s">
        <v>18</v>
      </c>
      <c r="G11" s="13" t="s">
        <v>12</v>
      </c>
      <c r="H11" s="15">
        <v>165693</v>
      </c>
      <c r="I11" s="15">
        <v>187424.25</v>
      </c>
    </row>
    <row r="12" spans="1:9" x14ac:dyDescent="0.3">
      <c r="B12" s="13" t="s">
        <v>16</v>
      </c>
      <c r="C12" s="13" t="s">
        <v>7</v>
      </c>
      <c r="D12" s="13" t="s">
        <v>17</v>
      </c>
      <c r="E12" s="13" t="s">
        <v>9</v>
      </c>
      <c r="F12" s="13" t="s">
        <v>19</v>
      </c>
      <c r="G12" s="13" t="s">
        <v>12</v>
      </c>
      <c r="H12" s="15">
        <v>-8284.65</v>
      </c>
      <c r="I12" s="15">
        <v>179139.6</v>
      </c>
    </row>
    <row r="13" spans="1:9" x14ac:dyDescent="0.3">
      <c r="B13" s="13" t="s">
        <v>20</v>
      </c>
      <c r="C13" s="13" t="s">
        <v>7</v>
      </c>
      <c r="D13" s="13">
        <v>9076</v>
      </c>
      <c r="E13" s="13" t="s">
        <v>9</v>
      </c>
      <c r="F13" s="13" t="s">
        <v>21</v>
      </c>
      <c r="G13" s="13" t="s">
        <v>12</v>
      </c>
      <c r="H13" s="15">
        <v>36260.6</v>
      </c>
      <c r="I13" s="15">
        <v>215400.2</v>
      </c>
    </row>
    <row r="14" spans="1:9" x14ac:dyDescent="0.3">
      <c r="A14" s="7" t="s">
        <v>22</v>
      </c>
      <c r="H14" s="16">
        <f>H9+H10+H11+H12+H13</f>
        <v>215400.2</v>
      </c>
    </row>
    <row r="15" spans="1:9" x14ac:dyDescent="0.3">
      <c r="A15" s="8" t="s">
        <v>23</v>
      </c>
      <c r="H15" s="16">
        <f>H14</f>
        <v>215400.2</v>
      </c>
    </row>
    <row r="16" spans="1:9" x14ac:dyDescent="0.3">
      <c r="A16" s="6" t="s">
        <v>24</v>
      </c>
    </row>
    <row r="17" spans="1:9" x14ac:dyDescent="0.3">
      <c r="A17" s="6" t="s">
        <v>25</v>
      </c>
    </row>
    <row r="18" spans="1:9" x14ac:dyDescent="0.3">
      <c r="B18" s="13" t="s">
        <v>26</v>
      </c>
      <c r="C18" s="13" t="s">
        <v>27</v>
      </c>
      <c r="D18" s="13" t="s">
        <v>10</v>
      </c>
      <c r="E18" s="13" t="s">
        <v>28</v>
      </c>
      <c r="F18" s="13" t="s">
        <v>10</v>
      </c>
      <c r="G18" s="13" t="s">
        <v>29</v>
      </c>
      <c r="H18" s="15">
        <v>694.21</v>
      </c>
      <c r="I18" s="15">
        <v>694.21</v>
      </c>
    </row>
    <row r="19" spans="1:9" x14ac:dyDescent="0.3">
      <c r="B19" s="13" t="s">
        <v>30</v>
      </c>
      <c r="C19" s="13" t="s">
        <v>27</v>
      </c>
      <c r="D19" s="13" t="s">
        <v>10</v>
      </c>
      <c r="E19" s="13" t="s">
        <v>28</v>
      </c>
      <c r="F19" s="13" t="s">
        <v>10</v>
      </c>
      <c r="G19" s="13" t="s">
        <v>29</v>
      </c>
      <c r="H19" s="15">
        <v>593.78</v>
      </c>
      <c r="I19" s="15">
        <v>1287.99</v>
      </c>
    </row>
    <row r="20" spans="1:9" x14ac:dyDescent="0.3">
      <c r="B20" s="13" t="s">
        <v>31</v>
      </c>
      <c r="C20" s="13" t="s">
        <v>32</v>
      </c>
      <c r="D20" s="13" t="s">
        <v>33</v>
      </c>
      <c r="E20" s="13" t="s">
        <v>34</v>
      </c>
      <c r="F20" s="13" t="s">
        <v>35</v>
      </c>
      <c r="G20" s="13" t="s">
        <v>36</v>
      </c>
      <c r="H20" s="15">
        <v>403.32</v>
      </c>
      <c r="I20" s="15">
        <v>1691.31</v>
      </c>
    </row>
    <row r="21" spans="1:9" x14ac:dyDescent="0.3">
      <c r="A21" s="7" t="s">
        <v>37</v>
      </c>
      <c r="H21" s="16">
        <f>H18+H19+H20</f>
        <v>1691.31</v>
      </c>
    </row>
    <row r="22" spans="1:9" x14ac:dyDescent="0.3">
      <c r="A22" s="6" t="s">
        <v>38</v>
      </c>
    </row>
    <row r="23" spans="1:9" x14ac:dyDescent="0.3">
      <c r="B23" s="13" t="s">
        <v>39</v>
      </c>
      <c r="C23" s="13" t="s">
        <v>32</v>
      </c>
      <c r="D23" s="13" t="s">
        <v>40</v>
      </c>
      <c r="E23" s="13" t="s">
        <v>41</v>
      </c>
      <c r="F23" s="13" t="s">
        <v>10</v>
      </c>
      <c r="G23" s="13" t="s">
        <v>36</v>
      </c>
      <c r="H23" s="15">
        <v>278.83</v>
      </c>
      <c r="I23" s="15">
        <v>278.83</v>
      </c>
    </row>
    <row r="24" spans="1:9" x14ac:dyDescent="0.3">
      <c r="B24" s="13" t="s">
        <v>39</v>
      </c>
      <c r="C24" s="13" t="s">
        <v>32</v>
      </c>
      <c r="D24" s="13" t="s">
        <v>42</v>
      </c>
      <c r="E24" s="13" t="s">
        <v>41</v>
      </c>
      <c r="F24" s="13" t="s">
        <v>10</v>
      </c>
      <c r="G24" s="13" t="s">
        <v>36</v>
      </c>
      <c r="H24" s="15">
        <v>922.7</v>
      </c>
      <c r="I24" s="15">
        <v>1201.53</v>
      </c>
    </row>
    <row r="25" spans="1:9" x14ac:dyDescent="0.3">
      <c r="B25" s="13" t="s">
        <v>43</v>
      </c>
      <c r="C25" s="13" t="s">
        <v>32</v>
      </c>
      <c r="D25" s="13" t="s">
        <v>44</v>
      </c>
      <c r="E25" s="13" t="s">
        <v>41</v>
      </c>
      <c r="F25" s="13" t="s">
        <v>10</v>
      </c>
      <c r="G25" s="13" t="s">
        <v>36</v>
      </c>
      <c r="H25" s="15">
        <v>1216.3599999999999</v>
      </c>
      <c r="I25" s="15">
        <v>2417.89</v>
      </c>
    </row>
    <row r="26" spans="1:9" x14ac:dyDescent="0.3">
      <c r="B26" s="13" t="s">
        <v>45</v>
      </c>
      <c r="C26" s="13" t="s">
        <v>32</v>
      </c>
      <c r="D26" s="13" t="s">
        <v>46</v>
      </c>
      <c r="E26" s="13" t="s">
        <v>41</v>
      </c>
      <c r="F26" s="13" t="s">
        <v>10</v>
      </c>
      <c r="G26" s="13" t="s">
        <v>36</v>
      </c>
      <c r="H26" s="15">
        <v>23.22</v>
      </c>
      <c r="I26" s="15">
        <v>2441.1099999999997</v>
      </c>
    </row>
    <row r="27" spans="1:9" x14ac:dyDescent="0.3">
      <c r="B27" s="13" t="s">
        <v>47</v>
      </c>
      <c r="C27" s="13" t="s">
        <v>32</v>
      </c>
      <c r="D27" s="13" t="s">
        <v>48</v>
      </c>
      <c r="E27" s="13" t="s">
        <v>41</v>
      </c>
      <c r="F27" s="13" t="s">
        <v>49</v>
      </c>
      <c r="G27" s="13" t="s">
        <v>36</v>
      </c>
      <c r="H27" s="15">
        <v>2472.83</v>
      </c>
      <c r="I27" s="15">
        <v>4913.9399999999996</v>
      </c>
    </row>
    <row r="28" spans="1:9" x14ac:dyDescent="0.3">
      <c r="B28" s="13" t="s">
        <v>50</v>
      </c>
      <c r="C28" s="13" t="s">
        <v>32</v>
      </c>
      <c r="D28" s="13" t="s">
        <v>51</v>
      </c>
      <c r="E28" s="13" t="s">
        <v>41</v>
      </c>
      <c r="F28" s="13" t="s">
        <v>10</v>
      </c>
      <c r="G28" s="13" t="s">
        <v>36</v>
      </c>
      <c r="H28" s="15">
        <v>80943.45</v>
      </c>
      <c r="I28" s="15">
        <v>85857.39</v>
      </c>
    </row>
    <row r="29" spans="1:9" x14ac:dyDescent="0.3">
      <c r="B29" s="13" t="s">
        <v>52</v>
      </c>
      <c r="C29" s="13" t="s">
        <v>32</v>
      </c>
      <c r="D29" s="13" t="s">
        <v>53</v>
      </c>
      <c r="E29" s="13" t="s">
        <v>54</v>
      </c>
      <c r="F29" s="13" t="s">
        <v>55</v>
      </c>
      <c r="G29" s="13" t="s">
        <v>36</v>
      </c>
      <c r="H29" s="15">
        <v>2821.88</v>
      </c>
      <c r="I29" s="15">
        <v>88679.27</v>
      </c>
    </row>
    <row r="30" spans="1:9" x14ac:dyDescent="0.3">
      <c r="B30" s="13" t="s">
        <v>56</v>
      </c>
      <c r="C30" s="13" t="s">
        <v>32</v>
      </c>
      <c r="D30" s="13" t="s">
        <v>57</v>
      </c>
      <c r="E30" s="13" t="s">
        <v>54</v>
      </c>
      <c r="F30" s="13" t="s">
        <v>10</v>
      </c>
      <c r="G30" s="13" t="s">
        <v>36</v>
      </c>
      <c r="H30" s="15">
        <v>68.19</v>
      </c>
      <c r="I30" s="15">
        <v>88747.46</v>
      </c>
    </row>
    <row r="31" spans="1:9" x14ac:dyDescent="0.3">
      <c r="B31" s="13" t="s">
        <v>58</v>
      </c>
      <c r="C31" s="13" t="s">
        <v>32</v>
      </c>
      <c r="D31" s="13" t="s">
        <v>59</v>
      </c>
      <c r="E31" s="13" t="s">
        <v>54</v>
      </c>
      <c r="F31" s="13" t="s">
        <v>10</v>
      </c>
      <c r="G31" s="13" t="s">
        <v>36</v>
      </c>
      <c r="H31" s="15">
        <v>258.58</v>
      </c>
      <c r="I31" s="15">
        <v>89006.040000000008</v>
      </c>
    </row>
    <row r="32" spans="1:9" x14ac:dyDescent="0.3">
      <c r="B32" s="13" t="s">
        <v>60</v>
      </c>
      <c r="C32" s="13" t="s">
        <v>32</v>
      </c>
      <c r="D32" s="13" t="s">
        <v>61</v>
      </c>
      <c r="E32" s="13" t="s">
        <v>54</v>
      </c>
      <c r="F32" s="13" t="s">
        <v>10</v>
      </c>
      <c r="G32" s="13" t="s">
        <v>36</v>
      </c>
      <c r="H32" s="15">
        <v>10.71</v>
      </c>
      <c r="I32" s="15">
        <v>89016.750000000015</v>
      </c>
    </row>
    <row r="33" spans="1:9" x14ac:dyDescent="0.3">
      <c r="B33" s="13" t="s">
        <v>60</v>
      </c>
      <c r="C33" s="13" t="s">
        <v>32</v>
      </c>
      <c r="D33" s="13" t="s">
        <v>62</v>
      </c>
      <c r="E33" s="13" t="s">
        <v>54</v>
      </c>
      <c r="F33" s="13" t="s">
        <v>10</v>
      </c>
      <c r="G33" s="13" t="s">
        <v>36</v>
      </c>
      <c r="H33" s="15">
        <v>119.65</v>
      </c>
      <c r="I33" s="15">
        <v>89136.400000000009</v>
      </c>
    </row>
    <row r="34" spans="1:9" x14ac:dyDescent="0.3">
      <c r="B34" s="13" t="s">
        <v>60</v>
      </c>
      <c r="C34" s="13" t="s">
        <v>32</v>
      </c>
      <c r="D34" s="13" t="s">
        <v>63</v>
      </c>
      <c r="E34" s="13" t="s">
        <v>54</v>
      </c>
      <c r="F34" s="13" t="s">
        <v>10</v>
      </c>
      <c r="G34" s="13" t="s">
        <v>36</v>
      </c>
      <c r="H34" s="15">
        <v>19.11</v>
      </c>
      <c r="I34" s="15">
        <v>89155.510000000009</v>
      </c>
    </row>
    <row r="35" spans="1:9" x14ac:dyDescent="0.3">
      <c r="B35" s="13" t="s">
        <v>64</v>
      </c>
      <c r="C35" s="13" t="s">
        <v>27</v>
      </c>
      <c r="D35" s="13" t="s">
        <v>10</v>
      </c>
      <c r="E35" s="13" t="s">
        <v>65</v>
      </c>
      <c r="F35" s="13" t="s">
        <v>66</v>
      </c>
      <c r="G35" s="13" t="s">
        <v>29</v>
      </c>
      <c r="H35" s="15">
        <v>113.75</v>
      </c>
      <c r="I35" s="15">
        <v>89269.260000000009</v>
      </c>
    </row>
    <row r="36" spans="1:9" x14ac:dyDescent="0.3">
      <c r="A36" s="7" t="s">
        <v>67</v>
      </c>
      <c r="H36" s="16">
        <f>H23+H24+H25+H26+H27+H28+H29+H30+H31+H32+H33+H34+H35</f>
        <v>89269.260000000009</v>
      </c>
    </row>
    <row r="37" spans="1:9" x14ac:dyDescent="0.3">
      <c r="A37" s="6" t="s">
        <v>68</v>
      </c>
    </row>
    <row r="38" spans="1:9" x14ac:dyDescent="0.3">
      <c r="A38" s="6" t="s">
        <v>69</v>
      </c>
    </row>
    <row r="39" spans="1:9" x14ac:dyDescent="0.3">
      <c r="B39" s="13" t="s">
        <v>70</v>
      </c>
      <c r="C39" s="13" t="s">
        <v>27</v>
      </c>
      <c r="D39" s="13" t="s">
        <v>10</v>
      </c>
      <c r="E39" s="13" t="s">
        <v>71</v>
      </c>
      <c r="F39" s="13" t="s">
        <v>10</v>
      </c>
      <c r="G39" s="13" t="s">
        <v>29</v>
      </c>
      <c r="H39" s="15">
        <v>1601</v>
      </c>
      <c r="I39" s="15">
        <v>1601</v>
      </c>
    </row>
    <row r="40" spans="1:9" x14ac:dyDescent="0.3">
      <c r="A40" s="9" t="s">
        <v>72</v>
      </c>
      <c r="H40" s="16">
        <f>H39</f>
        <v>1601</v>
      </c>
    </row>
    <row r="41" spans="1:9" x14ac:dyDescent="0.3">
      <c r="A41" s="7" t="s">
        <v>73</v>
      </c>
      <c r="H41" s="16">
        <f>H40</f>
        <v>1601</v>
      </c>
    </row>
    <row r="42" spans="1:9" x14ac:dyDescent="0.3">
      <c r="A42" s="6" t="s">
        <v>74</v>
      </c>
    </row>
    <row r="43" spans="1:9" x14ac:dyDescent="0.3">
      <c r="A43" s="6" t="s">
        <v>75</v>
      </c>
    </row>
    <row r="44" spans="1:9" x14ac:dyDescent="0.3">
      <c r="B44" s="13" t="s">
        <v>76</v>
      </c>
      <c r="C44" s="13" t="s">
        <v>32</v>
      </c>
      <c r="D44" s="13" t="s">
        <v>77</v>
      </c>
      <c r="E44" s="13" t="s">
        <v>78</v>
      </c>
      <c r="F44" s="13" t="s">
        <v>79</v>
      </c>
      <c r="G44" s="13" t="s">
        <v>36</v>
      </c>
      <c r="H44" s="15">
        <v>377.83</v>
      </c>
      <c r="I44" s="15">
        <v>377.83</v>
      </c>
    </row>
    <row r="45" spans="1:9" x14ac:dyDescent="0.3">
      <c r="B45" s="13" t="s">
        <v>80</v>
      </c>
      <c r="C45" s="13" t="s">
        <v>32</v>
      </c>
      <c r="D45" s="13" t="s">
        <v>81</v>
      </c>
      <c r="E45" s="13" t="s">
        <v>78</v>
      </c>
      <c r="F45" s="13" t="s">
        <v>79</v>
      </c>
      <c r="G45" s="13" t="s">
        <v>36</v>
      </c>
      <c r="H45" s="15">
        <v>1778</v>
      </c>
      <c r="I45" s="15">
        <v>2155.83</v>
      </c>
    </row>
    <row r="46" spans="1:9" x14ac:dyDescent="0.3">
      <c r="B46" s="13" t="s">
        <v>82</v>
      </c>
      <c r="C46" s="13" t="s">
        <v>32</v>
      </c>
      <c r="D46" s="13" t="s">
        <v>83</v>
      </c>
      <c r="E46" s="13" t="s">
        <v>78</v>
      </c>
      <c r="F46" s="13" t="s">
        <v>79</v>
      </c>
      <c r="G46" s="13" t="s">
        <v>36</v>
      </c>
      <c r="H46" s="15">
        <v>1778</v>
      </c>
      <c r="I46" s="15">
        <v>3933.83</v>
      </c>
    </row>
    <row r="47" spans="1:9" x14ac:dyDescent="0.3">
      <c r="B47" s="13" t="s">
        <v>84</v>
      </c>
      <c r="C47" s="13" t="s">
        <v>32</v>
      </c>
      <c r="D47" s="13" t="s">
        <v>85</v>
      </c>
      <c r="E47" s="13" t="s">
        <v>78</v>
      </c>
      <c r="F47" s="13" t="s">
        <v>79</v>
      </c>
      <c r="G47" s="13" t="s">
        <v>36</v>
      </c>
      <c r="H47" s="15">
        <v>533.4</v>
      </c>
      <c r="I47" s="15">
        <v>4467.2299999999996</v>
      </c>
    </row>
    <row r="48" spans="1:9" x14ac:dyDescent="0.3">
      <c r="A48" s="9" t="s">
        <v>86</v>
      </c>
      <c r="H48" s="16">
        <f>H44+H45+H46+H47</f>
        <v>4467.2299999999996</v>
      </c>
    </row>
    <row r="49" spans="1:9" x14ac:dyDescent="0.3">
      <c r="A49" s="7" t="s">
        <v>87</v>
      </c>
      <c r="H49" s="16">
        <f>H48</f>
        <v>4467.2299999999996</v>
      </c>
    </row>
    <row r="50" spans="1:9" x14ac:dyDescent="0.3">
      <c r="A50" s="8" t="s">
        <v>88</v>
      </c>
      <c r="H50" s="16">
        <f>H21+H36+H41+H49</f>
        <v>97028.800000000003</v>
      </c>
    </row>
    <row r="51" spans="1:9" x14ac:dyDescent="0.3">
      <c r="A51" s="8" t="s">
        <v>89</v>
      </c>
      <c r="H51" s="16">
        <f>H15-H50</f>
        <v>118371.40000000001</v>
      </c>
    </row>
    <row r="52" spans="1:9" x14ac:dyDescent="0.3">
      <c r="A52" s="6" t="s">
        <v>90</v>
      </c>
    </row>
    <row r="53" spans="1:9" x14ac:dyDescent="0.3">
      <c r="A53" s="6" t="s">
        <v>91</v>
      </c>
    </row>
    <row r="54" spans="1:9" x14ac:dyDescent="0.3">
      <c r="A54" s="6" t="s">
        <v>92</v>
      </c>
    </row>
    <row r="55" spans="1:9" x14ac:dyDescent="0.3">
      <c r="B55" s="13" t="s">
        <v>93</v>
      </c>
      <c r="C55" s="13" t="s">
        <v>27</v>
      </c>
      <c r="D55" s="13" t="s">
        <v>10</v>
      </c>
      <c r="E55" s="13" t="s">
        <v>94</v>
      </c>
      <c r="F55" s="13" t="s">
        <v>95</v>
      </c>
      <c r="G55" s="13" t="s">
        <v>29</v>
      </c>
      <c r="H55" s="15">
        <v>58.36</v>
      </c>
      <c r="I55" s="15">
        <v>58.36</v>
      </c>
    </row>
    <row r="56" spans="1:9" x14ac:dyDescent="0.3">
      <c r="B56" s="13" t="s">
        <v>76</v>
      </c>
      <c r="C56" s="13" t="s">
        <v>27</v>
      </c>
      <c r="D56" s="13" t="s">
        <v>10</v>
      </c>
      <c r="E56" s="13" t="s">
        <v>94</v>
      </c>
      <c r="F56" s="13" t="s">
        <v>95</v>
      </c>
      <c r="G56" s="13" t="s">
        <v>29</v>
      </c>
      <c r="H56" s="15">
        <v>40</v>
      </c>
      <c r="I56" s="15">
        <v>98.36</v>
      </c>
    </row>
    <row r="57" spans="1:9" x14ac:dyDescent="0.3">
      <c r="B57" s="13" t="s">
        <v>76</v>
      </c>
      <c r="C57" s="13" t="s">
        <v>27</v>
      </c>
      <c r="D57" s="13" t="s">
        <v>10</v>
      </c>
      <c r="E57" s="13" t="s">
        <v>94</v>
      </c>
      <c r="F57" s="13" t="s">
        <v>95</v>
      </c>
      <c r="G57" s="13" t="s">
        <v>29</v>
      </c>
      <c r="H57" s="15">
        <v>112.23</v>
      </c>
      <c r="I57" s="15">
        <v>210.59</v>
      </c>
    </row>
    <row r="58" spans="1:9" x14ac:dyDescent="0.3">
      <c r="B58" s="13" t="s">
        <v>76</v>
      </c>
      <c r="C58" s="13" t="s">
        <v>27</v>
      </c>
      <c r="D58" s="13" t="s">
        <v>10</v>
      </c>
      <c r="E58" s="13" t="s">
        <v>94</v>
      </c>
      <c r="F58" s="13" t="s">
        <v>95</v>
      </c>
      <c r="G58" s="13" t="s">
        <v>29</v>
      </c>
      <c r="H58" s="15">
        <v>175</v>
      </c>
      <c r="I58" s="15">
        <v>385.59000000000003</v>
      </c>
    </row>
    <row r="59" spans="1:9" x14ac:dyDescent="0.3">
      <c r="B59" s="13" t="s">
        <v>31</v>
      </c>
      <c r="C59" s="13" t="s">
        <v>27</v>
      </c>
      <c r="D59" s="13" t="s">
        <v>10</v>
      </c>
      <c r="E59" s="13" t="s">
        <v>94</v>
      </c>
      <c r="F59" s="13" t="s">
        <v>95</v>
      </c>
      <c r="G59" s="13" t="s">
        <v>29</v>
      </c>
      <c r="H59" s="15">
        <v>175</v>
      </c>
      <c r="I59" s="15">
        <v>560.59</v>
      </c>
    </row>
    <row r="60" spans="1:9" x14ac:dyDescent="0.3">
      <c r="B60" s="13" t="s">
        <v>31</v>
      </c>
      <c r="C60" s="13" t="s">
        <v>27</v>
      </c>
      <c r="D60" s="13" t="s">
        <v>10</v>
      </c>
      <c r="E60" s="13" t="s">
        <v>94</v>
      </c>
      <c r="F60" s="13" t="s">
        <v>95</v>
      </c>
      <c r="G60" s="13" t="s">
        <v>29</v>
      </c>
      <c r="H60" s="15">
        <v>175</v>
      </c>
      <c r="I60" s="15">
        <v>735.59</v>
      </c>
    </row>
    <row r="61" spans="1:9" x14ac:dyDescent="0.3">
      <c r="A61" s="9" t="s">
        <v>96</v>
      </c>
      <c r="H61" s="16">
        <f>H55+H56+H57+H58+H59+H60</f>
        <v>735.59</v>
      </c>
    </row>
    <row r="62" spans="1:9" x14ac:dyDescent="0.3">
      <c r="A62" s="7" t="s">
        <v>97</v>
      </c>
      <c r="H62" s="16">
        <f>H61</f>
        <v>735.59</v>
      </c>
    </row>
    <row r="63" spans="1:9" x14ac:dyDescent="0.3">
      <c r="A63" s="6" t="s">
        <v>98</v>
      </c>
    </row>
    <row r="64" spans="1:9" x14ac:dyDescent="0.3">
      <c r="B64" s="13" t="s">
        <v>99</v>
      </c>
      <c r="C64" s="13" t="s">
        <v>32</v>
      </c>
      <c r="D64" s="13" t="s">
        <v>100</v>
      </c>
      <c r="E64" s="13" t="s">
        <v>101</v>
      </c>
      <c r="F64" s="13" t="s">
        <v>10</v>
      </c>
      <c r="G64" s="13" t="s">
        <v>36</v>
      </c>
      <c r="H64" s="15">
        <v>7563</v>
      </c>
      <c r="I64" s="15">
        <v>7563</v>
      </c>
    </row>
    <row r="65" spans="1:9" x14ac:dyDescent="0.3">
      <c r="A65" s="7" t="s">
        <v>102</v>
      </c>
      <c r="H65" s="16">
        <f>H64</f>
        <v>7563</v>
      </c>
    </row>
    <row r="66" spans="1:9" x14ac:dyDescent="0.3">
      <c r="A66" s="6" t="s">
        <v>103</v>
      </c>
    </row>
    <row r="67" spans="1:9" x14ac:dyDescent="0.3">
      <c r="A67" s="6" t="s">
        <v>104</v>
      </c>
    </row>
    <row r="68" spans="1:9" x14ac:dyDescent="0.3">
      <c r="B68" s="13" t="s">
        <v>105</v>
      </c>
      <c r="C68" s="13" t="s">
        <v>106</v>
      </c>
      <c r="D68" s="13" t="s">
        <v>107</v>
      </c>
      <c r="E68" s="13" t="s">
        <v>108</v>
      </c>
      <c r="F68" s="13" t="s">
        <v>109</v>
      </c>
      <c r="G68" s="13" t="s">
        <v>110</v>
      </c>
      <c r="H68" s="15">
        <v>2.96</v>
      </c>
      <c r="I68" s="15">
        <v>2.96</v>
      </c>
    </row>
    <row r="69" spans="1:9" x14ac:dyDescent="0.3">
      <c r="B69" s="13" t="s">
        <v>105</v>
      </c>
      <c r="C69" s="13" t="s">
        <v>106</v>
      </c>
      <c r="D69" s="13" t="s">
        <v>107</v>
      </c>
      <c r="E69" s="13" t="s">
        <v>108</v>
      </c>
      <c r="F69" s="13" t="s">
        <v>111</v>
      </c>
      <c r="G69" s="13" t="s">
        <v>110</v>
      </c>
      <c r="H69" s="15">
        <v>0.69</v>
      </c>
      <c r="I69" s="15">
        <v>3.65</v>
      </c>
    </row>
    <row r="70" spans="1:9" x14ac:dyDescent="0.3">
      <c r="B70" s="13" t="s">
        <v>43</v>
      </c>
      <c r="C70" s="13" t="s">
        <v>106</v>
      </c>
      <c r="D70" s="13" t="s">
        <v>107</v>
      </c>
      <c r="E70" s="13" t="s">
        <v>108</v>
      </c>
      <c r="F70" s="13" t="s">
        <v>109</v>
      </c>
      <c r="G70" s="13" t="s">
        <v>110</v>
      </c>
      <c r="H70" s="15">
        <v>4.7</v>
      </c>
      <c r="I70" s="15">
        <v>8.35</v>
      </c>
    </row>
    <row r="71" spans="1:9" x14ac:dyDescent="0.3">
      <c r="B71" s="13" t="s">
        <v>43</v>
      </c>
      <c r="C71" s="13" t="s">
        <v>106</v>
      </c>
      <c r="D71" s="13" t="s">
        <v>107</v>
      </c>
      <c r="E71" s="13" t="s">
        <v>108</v>
      </c>
      <c r="F71" s="13" t="s">
        <v>111</v>
      </c>
      <c r="G71" s="13" t="s">
        <v>110</v>
      </c>
      <c r="H71" s="15">
        <v>1.1000000000000001</v>
      </c>
      <c r="I71" s="15">
        <v>9.4499999999999993</v>
      </c>
    </row>
    <row r="72" spans="1:9" x14ac:dyDescent="0.3">
      <c r="B72" s="13" t="s">
        <v>112</v>
      </c>
      <c r="C72" s="13" t="s">
        <v>106</v>
      </c>
      <c r="D72" s="13" t="s">
        <v>107</v>
      </c>
      <c r="E72" s="13" t="s">
        <v>113</v>
      </c>
      <c r="F72" s="13" t="s">
        <v>109</v>
      </c>
      <c r="G72" s="13" t="s">
        <v>110</v>
      </c>
      <c r="H72" s="15">
        <v>4.67</v>
      </c>
      <c r="I72" s="15">
        <v>14.12</v>
      </c>
    </row>
    <row r="73" spans="1:9" x14ac:dyDescent="0.3">
      <c r="B73" s="13" t="s">
        <v>112</v>
      </c>
      <c r="C73" s="13" t="s">
        <v>106</v>
      </c>
      <c r="D73" s="13" t="s">
        <v>107</v>
      </c>
      <c r="E73" s="13" t="s">
        <v>113</v>
      </c>
      <c r="F73" s="13" t="s">
        <v>111</v>
      </c>
      <c r="G73" s="13" t="s">
        <v>110</v>
      </c>
      <c r="H73" s="15">
        <v>1.0900000000000001</v>
      </c>
      <c r="I73" s="15">
        <v>15.209999999999999</v>
      </c>
    </row>
    <row r="74" spans="1:9" x14ac:dyDescent="0.3">
      <c r="B74" s="13" t="s">
        <v>114</v>
      </c>
      <c r="C74" s="13" t="s">
        <v>106</v>
      </c>
      <c r="D74" s="13" t="s">
        <v>107</v>
      </c>
      <c r="E74" s="13" t="s">
        <v>113</v>
      </c>
      <c r="F74" s="13" t="s">
        <v>109</v>
      </c>
      <c r="G74" s="13" t="s">
        <v>110</v>
      </c>
      <c r="H74" s="15">
        <v>9.59</v>
      </c>
      <c r="I74" s="15">
        <v>24.799999999999997</v>
      </c>
    </row>
    <row r="75" spans="1:9" x14ac:dyDescent="0.3">
      <c r="B75" s="13" t="s">
        <v>114</v>
      </c>
      <c r="C75" s="13" t="s">
        <v>106</v>
      </c>
      <c r="D75" s="13" t="s">
        <v>107</v>
      </c>
      <c r="E75" s="13" t="s">
        <v>113</v>
      </c>
      <c r="F75" s="13" t="s">
        <v>111</v>
      </c>
      <c r="G75" s="13" t="s">
        <v>110</v>
      </c>
      <c r="H75" s="15">
        <v>2.2400000000000002</v>
      </c>
      <c r="I75" s="15">
        <v>27.04</v>
      </c>
    </row>
    <row r="76" spans="1:9" x14ac:dyDescent="0.3">
      <c r="A76" s="9" t="s">
        <v>115</v>
      </c>
      <c r="H76" s="16">
        <f>H68+H69+H70+H71+H72+H73+H74+H75</f>
        <v>27.04</v>
      </c>
    </row>
    <row r="77" spans="1:9" x14ac:dyDescent="0.3">
      <c r="A77" s="6" t="s">
        <v>116</v>
      </c>
    </row>
    <row r="78" spans="1:9" x14ac:dyDescent="0.3">
      <c r="B78" s="13" t="s">
        <v>105</v>
      </c>
      <c r="C78" s="13" t="s">
        <v>106</v>
      </c>
      <c r="D78" s="13" t="s">
        <v>107</v>
      </c>
      <c r="E78" s="13" t="s">
        <v>108</v>
      </c>
      <c r="F78" s="13" t="s">
        <v>117</v>
      </c>
      <c r="G78" s="13" t="s">
        <v>110</v>
      </c>
      <c r="H78" s="17">
        <v>0</v>
      </c>
      <c r="I78" s="17">
        <v>0</v>
      </c>
    </row>
    <row r="79" spans="1:9" x14ac:dyDescent="0.3">
      <c r="B79" s="13" t="s">
        <v>43</v>
      </c>
      <c r="C79" s="13" t="s">
        <v>106</v>
      </c>
      <c r="D79" s="13" t="s">
        <v>107</v>
      </c>
      <c r="E79" s="13" t="s">
        <v>108</v>
      </c>
      <c r="F79" s="13" t="s">
        <v>117</v>
      </c>
      <c r="G79" s="13" t="s">
        <v>110</v>
      </c>
      <c r="H79" s="17">
        <v>0</v>
      </c>
      <c r="I79" s="17">
        <v>0</v>
      </c>
    </row>
    <row r="80" spans="1:9" x14ac:dyDescent="0.3">
      <c r="B80" s="13" t="s">
        <v>112</v>
      </c>
      <c r="C80" s="13" t="s">
        <v>106</v>
      </c>
      <c r="D80" s="13" t="s">
        <v>107</v>
      </c>
      <c r="E80" s="13" t="s">
        <v>113</v>
      </c>
      <c r="F80" s="13" t="s">
        <v>117</v>
      </c>
      <c r="G80" s="13" t="s">
        <v>110</v>
      </c>
      <c r="H80" s="17">
        <v>0</v>
      </c>
      <c r="I80" s="17">
        <v>0</v>
      </c>
    </row>
    <row r="81" spans="1:9" x14ac:dyDescent="0.3">
      <c r="B81" s="13" t="s">
        <v>114</v>
      </c>
      <c r="C81" s="13" t="s">
        <v>106</v>
      </c>
      <c r="D81" s="13" t="s">
        <v>107</v>
      </c>
      <c r="E81" s="13" t="s">
        <v>113</v>
      </c>
      <c r="F81" s="13" t="s">
        <v>117</v>
      </c>
      <c r="G81" s="13" t="s">
        <v>110</v>
      </c>
      <c r="H81" s="17">
        <v>0</v>
      </c>
      <c r="I81" s="17">
        <v>0</v>
      </c>
    </row>
    <row r="82" spans="1:9" x14ac:dyDescent="0.3">
      <c r="A82" s="9" t="s">
        <v>118</v>
      </c>
      <c r="H82" s="16">
        <f>H78+H79+H80+H81</f>
        <v>0</v>
      </c>
    </row>
    <row r="83" spans="1:9" x14ac:dyDescent="0.3">
      <c r="A83" s="6" t="s">
        <v>119</v>
      </c>
    </row>
    <row r="84" spans="1:9" x14ac:dyDescent="0.3">
      <c r="B84" s="13" t="s">
        <v>105</v>
      </c>
      <c r="C84" s="13" t="s">
        <v>106</v>
      </c>
      <c r="D84" s="13" t="s">
        <v>107</v>
      </c>
      <c r="E84" s="13" t="s">
        <v>108</v>
      </c>
      <c r="F84" s="13" t="s">
        <v>120</v>
      </c>
      <c r="G84" s="13" t="s">
        <v>110</v>
      </c>
      <c r="H84" s="15">
        <v>0.09</v>
      </c>
      <c r="I84" s="15">
        <v>0.09</v>
      </c>
    </row>
    <row r="85" spans="1:9" x14ac:dyDescent="0.3">
      <c r="B85" s="13" t="s">
        <v>43</v>
      </c>
      <c r="C85" s="13" t="s">
        <v>106</v>
      </c>
      <c r="D85" s="13" t="s">
        <v>107</v>
      </c>
      <c r="E85" s="13" t="s">
        <v>108</v>
      </c>
      <c r="F85" s="13" t="s">
        <v>120</v>
      </c>
      <c r="G85" s="13" t="s">
        <v>110</v>
      </c>
      <c r="H85" s="17">
        <v>0</v>
      </c>
      <c r="I85" s="15">
        <v>0.09</v>
      </c>
    </row>
    <row r="86" spans="1:9" x14ac:dyDescent="0.3">
      <c r="B86" s="13" t="s">
        <v>112</v>
      </c>
      <c r="C86" s="13" t="s">
        <v>106</v>
      </c>
      <c r="D86" s="13" t="s">
        <v>107</v>
      </c>
      <c r="E86" s="13" t="s">
        <v>113</v>
      </c>
      <c r="F86" s="13" t="s">
        <v>120</v>
      </c>
      <c r="G86" s="13" t="s">
        <v>110</v>
      </c>
      <c r="H86" s="15">
        <v>0.61</v>
      </c>
      <c r="I86" s="15">
        <v>0.7</v>
      </c>
    </row>
    <row r="87" spans="1:9" x14ac:dyDescent="0.3">
      <c r="B87" s="13" t="s">
        <v>114</v>
      </c>
      <c r="C87" s="13" t="s">
        <v>106</v>
      </c>
      <c r="D87" s="13" t="s">
        <v>107</v>
      </c>
      <c r="E87" s="13" t="s">
        <v>113</v>
      </c>
      <c r="F87" s="13" t="s">
        <v>120</v>
      </c>
      <c r="G87" s="13" t="s">
        <v>110</v>
      </c>
      <c r="H87" s="17">
        <v>0</v>
      </c>
      <c r="I87" s="15">
        <v>0.7</v>
      </c>
    </row>
    <row r="88" spans="1:9" x14ac:dyDescent="0.3">
      <c r="A88" s="9" t="s">
        <v>121</v>
      </c>
      <c r="H88" s="16">
        <f>H84+H85+H86+H87</f>
        <v>0.7</v>
      </c>
    </row>
    <row r="89" spans="1:9" x14ac:dyDescent="0.3">
      <c r="A89" s="6" t="s">
        <v>122</v>
      </c>
    </row>
    <row r="90" spans="1:9" x14ac:dyDescent="0.3">
      <c r="B90" s="13" t="s">
        <v>105</v>
      </c>
      <c r="C90" s="13" t="s">
        <v>106</v>
      </c>
      <c r="D90" s="13" t="s">
        <v>107</v>
      </c>
      <c r="E90" s="13" t="s">
        <v>108</v>
      </c>
      <c r="F90" s="13" t="s">
        <v>123</v>
      </c>
      <c r="G90" s="13" t="s">
        <v>110</v>
      </c>
      <c r="H90" s="17">
        <v>0</v>
      </c>
      <c r="I90" s="17">
        <v>0</v>
      </c>
    </row>
    <row r="91" spans="1:9" x14ac:dyDescent="0.3">
      <c r="B91" s="13" t="s">
        <v>43</v>
      </c>
      <c r="C91" s="13" t="s">
        <v>106</v>
      </c>
      <c r="D91" s="13" t="s">
        <v>107</v>
      </c>
      <c r="E91" s="13" t="s">
        <v>108</v>
      </c>
      <c r="F91" s="13" t="s">
        <v>123</v>
      </c>
      <c r="G91" s="13" t="s">
        <v>110</v>
      </c>
      <c r="H91" s="17">
        <v>0</v>
      </c>
      <c r="I91" s="17">
        <v>0</v>
      </c>
    </row>
    <row r="92" spans="1:9" x14ac:dyDescent="0.3">
      <c r="B92" s="13" t="s">
        <v>112</v>
      </c>
      <c r="C92" s="13" t="s">
        <v>106</v>
      </c>
      <c r="D92" s="13" t="s">
        <v>107</v>
      </c>
      <c r="E92" s="13" t="s">
        <v>113</v>
      </c>
      <c r="F92" s="13" t="s">
        <v>123</v>
      </c>
      <c r="G92" s="13" t="s">
        <v>110</v>
      </c>
      <c r="H92" s="17">
        <v>0</v>
      </c>
      <c r="I92" s="17">
        <v>0</v>
      </c>
    </row>
    <row r="93" spans="1:9" x14ac:dyDescent="0.3">
      <c r="B93" s="13" t="s">
        <v>114</v>
      </c>
      <c r="C93" s="13" t="s">
        <v>106</v>
      </c>
      <c r="D93" s="13" t="s">
        <v>107</v>
      </c>
      <c r="E93" s="13" t="s">
        <v>113</v>
      </c>
      <c r="F93" s="13" t="s">
        <v>123</v>
      </c>
      <c r="G93" s="13" t="s">
        <v>110</v>
      </c>
      <c r="H93" s="17">
        <v>0</v>
      </c>
      <c r="I93" s="17">
        <v>0</v>
      </c>
    </row>
    <row r="94" spans="1:9" x14ac:dyDescent="0.3">
      <c r="A94" s="9" t="s">
        <v>124</v>
      </c>
      <c r="H94" s="16">
        <f>H90+H91+H92+H93</f>
        <v>0</v>
      </c>
    </row>
    <row r="95" spans="1:9" x14ac:dyDescent="0.3">
      <c r="A95" s="6" t="s">
        <v>125</v>
      </c>
    </row>
    <row r="96" spans="1:9" x14ac:dyDescent="0.3">
      <c r="B96" s="13" t="s">
        <v>105</v>
      </c>
      <c r="C96" s="13" t="s">
        <v>106</v>
      </c>
      <c r="D96" s="13" t="s">
        <v>107</v>
      </c>
      <c r="E96" s="13" t="s">
        <v>108</v>
      </c>
      <c r="F96" s="13" t="s">
        <v>126</v>
      </c>
      <c r="G96" s="13" t="s">
        <v>110</v>
      </c>
      <c r="H96" s="15">
        <v>51</v>
      </c>
      <c r="I96" s="15">
        <v>51</v>
      </c>
    </row>
    <row r="97" spans="1:9" x14ac:dyDescent="0.3">
      <c r="B97" s="13" t="s">
        <v>43</v>
      </c>
      <c r="C97" s="13" t="s">
        <v>106</v>
      </c>
      <c r="D97" s="13" t="s">
        <v>107</v>
      </c>
      <c r="E97" s="13" t="s">
        <v>108</v>
      </c>
      <c r="F97" s="13" t="s">
        <v>126</v>
      </c>
      <c r="G97" s="13" t="s">
        <v>110</v>
      </c>
      <c r="H97" s="15">
        <v>85</v>
      </c>
      <c r="I97" s="15">
        <v>136</v>
      </c>
    </row>
    <row r="98" spans="1:9" x14ac:dyDescent="0.3">
      <c r="B98" s="13" t="s">
        <v>112</v>
      </c>
      <c r="C98" s="13" t="s">
        <v>106</v>
      </c>
      <c r="D98" s="13" t="s">
        <v>107</v>
      </c>
      <c r="E98" s="13" t="s">
        <v>113</v>
      </c>
      <c r="F98" s="13" t="s">
        <v>127</v>
      </c>
      <c r="G98" s="13" t="s">
        <v>110</v>
      </c>
      <c r="H98" s="15">
        <v>84</v>
      </c>
      <c r="I98" s="15">
        <v>220</v>
      </c>
    </row>
    <row r="99" spans="1:9" x14ac:dyDescent="0.3">
      <c r="B99" s="13" t="s">
        <v>114</v>
      </c>
      <c r="C99" s="13" t="s">
        <v>106</v>
      </c>
      <c r="D99" s="13" t="s">
        <v>107</v>
      </c>
      <c r="E99" s="13" t="s">
        <v>113</v>
      </c>
      <c r="F99" s="13" t="s">
        <v>127</v>
      </c>
      <c r="G99" s="13" t="s">
        <v>110</v>
      </c>
      <c r="H99" s="15">
        <v>168</v>
      </c>
      <c r="I99" s="15">
        <v>388</v>
      </c>
    </row>
    <row r="100" spans="1:9" x14ac:dyDescent="0.3">
      <c r="A100" s="9" t="s">
        <v>128</v>
      </c>
      <c r="H100" s="16">
        <f>H96+H97+H98+H99</f>
        <v>388</v>
      </c>
    </row>
    <row r="101" spans="1:9" x14ac:dyDescent="0.3">
      <c r="A101" s="7" t="s">
        <v>129</v>
      </c>
      <c r="H101" s="16">
        <f>H76+H82+H88+H94+H100</f>
        <v>415.74</v>
      </c>
    </row>
    <row r="102" spans="1:9" x14ac:dyDescent="0.3">
      <c r="A102" s="8" t="s">
        <v>130</v>
      </c>
      <c r="H102" s="16">
        <f>H62+H65+H101</f>
        <v>8714.33</v>
      </c>
    </row>
    <row r="103" spans="1:9" x14ac:dyDescent="0.3">
      <c r="A103" s="10" t="s">
        <v>131</v>
      </c>
      <c r="H103" s="16">
        <v>109657.07</v>
      </c>
    </row>
    <row r="104" spans="1:9" x14ac:dyDescent="0.3">
      <c r="A104" s="6" t="s">
        <v>132</v>
      </c>
    </row>
    <row r="105" spans="1:9" x14ac:dyDescent="0.3">
      <c r="B105" s="13" t="s">
        <v>133</v>
      </c>
      <c r="H105" s="13"/>
    </row>
    <row r="106" spans="1:9" x14ac:dyDescent="0.3">
      <c r="B106" s="13" t="s">
        <v>134</v>
      </c>
      <c r="H106" s="13"/>
    </row>
    <row r="107" spans="1:9" x14ac:dyDescent="0.3">
      <c r="A107" s="10" t="s">
        <v>135</v>
      </c>
      <c r="H107" s="16">
        <f>H104+H105+H106</f>
        <v>0</v>
      </c>
    </row>
    <row r="108" spans="1:9" x14ac:dyDescent="0.3">
      <c r="A108" s="10" t="s">
        <v>136</v>
      </c>
      <c r="H108" s="16">
        <v>109657.07</v>
      </c>
    </row>
    <row r="112" spans="1:9" x14ac:dyDescent="0.3">
      <c r="A112" s="1" t="s">
        <v>145</v>
      </c>
      <c r="B112" s="4"/>
      <c r="C112" s="4"/>
      <c r="D112" s="4"/>
      <c r="E112" s="4"/>
      <c r="F112" s="4"/>
      <c r="G112" s="4"/>
      <c r="H112" s="4"/>
      <c r="I112" s="4"/>
    </row>
  </sheetData>
  <mergeCells count="4">
    <mergeCell ref="A1:I1"/>
    <mergeCell ref="A2:I2"/>
    <mergeCell ref="A3:I3"/>
    <mergeCell ref="A112:I1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mike grenz</cp:lastModifiedBy>
  <dcterms:created xsi:type="dcterms:W3CDTF">2022-03-24T08:55:57Z</dcterms:created>
  <dcterms:modified xsi:type="dcterms:W3CDTF">2026-07-09T21:09:58Z</dcterms:modified>
  <cp:category/>
</cp:coreProperties>
</file>